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lha" sheetId="1" r:id="rId4"/>
    <sheet state="visible" name="Filtragem" sheetId="2" r:id="rId5"/>
    <sheet state="visible" name="Codificação A3" sheetId="3" r:id="rId6"/>
    <sheet state="visible" name="Codificação A4" sheetId="4" r:id="rId7"/>
    <sheet state="visible" name="Comparação e Kappa" sheetId="5" r:id="rId8"/>
    <sheet state="visible" name="Reconciliação" sheetId="6" r:id="rId9"/>
    <sheet state="visible" name="Anonimização" sheetId="7" r:id="rId10"/>
    <sheet state="visible" name="Síntese Final" sheetId="8" r:id="rId11"/>
  </sheets>
  <definedNames/>
  <calcPr/>
  <extLst>
    <ext uri="GoogleSheetsCustomDataVersion2">
      <go:sheetsCustomData xmlns:go="http://customooxmlschemas.google.com/" r:id="rId12" roundtripDataChecksum="TdOa5KFz8D1kF8J/SRQFoeRW8qg47TaXo17VVDTogu0="/>
    </ext>
  </extLst>
</workbook>
</file>

<file path=xl/sharedStrings.xml><?xml version="1.0" encoding="utf-8"?>
<sst xmlns="http://schemas.openxmlformats.org/spreadsheetml/2006/main" count="1026" uniqueCount="206">
  <si>
    <t>Auditoria de Filtragem Semântica (Falsos Negativos)</t>
  </si>
  <si>
    <t>Grelha de Codificação Independente — Repositório 4</t>
  </si>
  <si>
    <t>Grelha de Codificação Independente — Repositório 3</t>
  </si>
  <si>
    <t>Auditoria de Recolha e Integridade dos Dados</t>
  </si>
  <si>
    <t>Distribuição: Amostra distribuída entre os autores reais.</t>
  </si>
  <si>
    <t>Instruções: Insira a sua classificação sem ver as respostas dos colegas ou da IA.</t>
  </si>
  <si>
    <t>Distribuição: Avaliação de posts para caça a gírias/sarcasmos não reconhecidos.</t>
  </si>
  <si>
    <t>ID do Post</t>
  </si>
  <si>
    <t>Linl</t>
  </si>
  <si>
    <t>Jogo</t>
  </si>
  <si>
    <t>Texto do Post</t>
  </si>
  <si>
    <t>Link do Post</t>
  </si>
  <si>
    <t>Codificador Humano</t>
  </si>
  <si>
    <t>Autor Responsável</t>
  </si>
  <si>
    <t>Dimensão DART</t>
  </si>
  <si>
    <t>Acesso ao Link (OK/Erro)</t>
  </si>
  <si>
    <t>Contém Gíria/Sarcasmo?</t>
  </si>
  <si>
    <t>Cocriação</t>
  </si>
  <si>
    <t>Correspondência (Sim/Não)</t>
  </si>
  <si>
    <t>Falso Negativo? (Sim/Não)</t>
  </si>
  <si>
    <t>Notas</t>
  </si>
  <si>
    <t>Justificação</t>
  </si>
  <si>
    <t>3000013_19862910</t>
  </si>
  <si>
    <t>World of Warcraft</t>
  </si>
  <si>
    <t>I don’t think at any point in Classic (maybe in the history of WoW) has botting been as much of an issue as it is currently. It’s actually at the point where its effecting gameplay on a regular basis, especially in bgs, even at 80. This is unacceptable.</t>
  </si>
  <si>
    <t>Roger</t>
  </si>
  <si>
    <t>https://us.forums.blizzard.com/en/wow/t/the-amount-of-botting-in-unacceptable/1525402</t>
  </si>
  <si>
    <t>JPaulo</t>
  </si>
  <si>
    <t>509843_2862478</t>
  </si>
  <si>
    <t>EVE Online</t>
  </si>
  <si>
    <t>If they limit the ship types which can use the Shipcasters then this would prevent Rookieville being used as a hauling shortcut.</t>
  </si>
  <si>
    <t>Emmanoel</t>
  </si>
  <si>
    <t>3000009_28801877</t>
  </si>
  <si>
    <t>Very different definition of “AI”. Part of the problem in these discussions, the LLM-bros took the term “AI” both for the marketing hype and fluffery, and to confuse people. On the stuff the LLM-bros are pushing… [URL_ANONYMIZED] – the cost of AI, and who is really pushing it [URL_ANONYMIZED] – B...</t>
  </si>
  <si>
    <t>Gomide</t>
  </si>
  <si>
    <t>Ok</t>
  </si>
  <si>
    <t>511899_2878208</t>
  </si>
  <si>
    <t>Sim</t>
  </si>
  <si>
    <t>I got can baited and destroyed about 10 minutes into making my account. I’m sad new players will no longer experience that.</t>
  </si>
  <si>
    <t>https://forums.eveonline.com/t/introducing-exordium/509843/1181</t>
  </si>
  <si>
    <t>509843_2862470</t>
  </si>
  <si>
    <t>I guess the high special taxes in there will make it unlucrative to build anything for sale. Funnily, this will also sour the interest of newbies into those activities. Which might be part of the plan as CCP desperately wants to sell ships for cash, not for time mined.</t>
  </si>
  <si>
    <t>3000012_25620015</t>
  </si>
  <si>
    <t>https://us.forums.blizzard.com/en/wow/t/does-microsoft-use-any-of-its-ai-technology-for-anything-related-to-world-of-warcraft/2248219</t>
  </si>
  <si>
    <t>I remember way back when classic launched the level of bots were insane. Whole armies of them running into stockades etc? It’s great to see all the QoL changes coming, but will the elephant in the room actually be addressed? Or will the economy be trashed, again?</t>
  </si>
  <si>
    <t>3000005_25902774</t>
  </si>
  <si>
    <t>https://forums.eveonline.com/t/lol-safezones/511899/196</t>
  </si>
  <si>
    <t>Alsharptusk:  Raising bot awareness is helpful even if Blizzard never see this.   people are well aware of bots in the game. pretty much anygame where profit can be made in fact.</t>
  </si>
  <si>
    <t>507777_2846554</t>
  </si>
  <si>
    <t>Who knows if this update really helps new players but one thing is certain and that it how this space can be abused by old players.</t>
  </si>
  <si>
    <t>510142_2865148</t>
  </si>
  <si>
    <t>Eaglefeather:  Drones are no different than hull mounted guns   Sure they are. They are separate objects, targetable, destroyable, can remain on grid if the ship warps away. Destroying them doesn’t endanger the capsuleer. Process of deploying them to space is even the same as with all othe deploy...</t>
  </si>
  <si>
    <t>511200_2872613</t>
  </si>
  <si>
    <t>Exactly, CCP prefers short-term PLEX profit over the long-term health of the player base</t>
  </si>
  <si>
    <t>511004_2871874</t>
  </si>
  <si>
    <t>I don’t think you understand that ALL cases of “BOTTING” (which is how ccp classifies all these) are already reviewed by staff?</t>
  </si>
  <si>
    <t>https://us.forums.blizzard.com/en/wow/t/will-history-repeat-itself-with-the-bot-crisis-when-the-servers-launch/2012234</t>
  </si>
  <si>
    <t>509972_2863229</t>
  </si>
  <si>
    <t>Already devaluing something new before it’s even live? Because it ‘changes something’? So typical and so static…</t>
  </si>
  <si>
    <t>https://us.forums.blizzard.com/en/wow/t/video-evidence-of-bot/2032803</t>
  </si>
  <si>
    <t>3000006_27235331</t>
  </si>
  <si>
    <t>Blizzard spends all their money fighting bots, they ban them all the time, and there shouldn’t even be bots on Anniversary there’s no GDKP, atleast that’s the line we are being sold…</t>
  </si>
  <si>
    <t>https://forums.eveonline.com/t/separate-space-for-newbies/507777/478</t>
  </si>
  <si>
    <t>3000004_29507115</t>
  </si>
  <si>
    <t>So, 300 people?  Methinks Asha Sharma may not greenlight this.</t>
  </si>
  <si>
    <t>511004_2872749</t>
  </si>
  <si>
    <t>https://forums.eveonline.com/t/nerf-afk-moon-mining/510142/115</t>
  </si>
  <si>
    <t>Alphas already have reduced ISK income compared to Omega characters. No T2 ships, no higher tier missions, limited skills, no multiboxing, no PI, little industry etc. The Alpha ISK income is never going to be reduced to 0 without neutering the ability for new players to learn to play the game as ...</t>
  </si>
  <si>
    <t>510142_2865138</t>
  </si>
  <si>
    <t>Asgidur Hurtini:  Liking the idea of shooting drones for suspect status like @Gerard_Amatin did is no problem. Posting such stupidity is beyond imagination from a veteran.   I’m not sure what your argument is here. Liking the idea of shooting drones for suspect status in HS is fine, but posting s...</t>
  </si>
  <si>
    <t>509972_2863226</t>
  </si>
  <si>
    <t>This is just pure speculation. But I am wondering how many of all these “mega Multis” will be heading to  Exord with all their exhumers and Orcas.  Since, from what it sounds like they will be able to mine with No threat of ganking.</t>
  </si>
  <si>
    <t>509129_2863227</t>
  </si>
  <si>
    <t>https://forums.eveonline.com/t/why-is-ccp-punishing-real-players-while-looking-the-other-way-on-botting/511200/99</t>
  </si>
  <si>
    <t>I really ‘like’ how fanboys simply deny how big the problem is because what cannot be that shall not be…alway the same static reaction if you state that not everything is multicolored unicorn poop in this game  Simply admit that this problem exists or go outside into the real world even if it is ...</t>
  </si>
  <si>
    <t>1qkbren_5</t>
  </si>
  <si>
    <t>https://forums.eveonline.com/t/limitation-of-alpha-accounts-to-veterans-omega-account-holders/511004/7</t>
  </si>
  <si>
    <t>7 shots a tick is very very doable especially with missiles some of the few ways to tell if some one is broadcasting is if they lock drop drones or use a hit scan weapon at the same time (nute nos or any turrets)</t>
  </si>
  <si>
    <t>3000006_27253889</t>
  </si>
  <si>
    <t>https://forums.eveonline.com/t/wondering-how-many-mega-multis-will-be-heading-to-exordium-to-avoid-ganks/509972/582</t>
  </si>
  <si>
    <t>it wasnt brought up in the sense of which youre speaking</t>
  </si>
  <si>
    <t>1beecfw_1</t>
  </si>
  <si>
    <t>With AI-driven pixel bots and visual machine learning models, botting is about to explode. Traditional anti-cheat checks won't be able to catch bots that interact like human players, visually reading the screen and moving in human-like curves. This will completely flood the economy and destroy an...</t>
  </si>
  <si>
    <t>https://us.forums.blizzard.com/en/wow/t/bots-on-nightslayer/2129768</t>
  </si>
  <si>
    <t>514029_2896571</t>
  </si>
  <si>
    <t>As an F1 monkey, I can confirm, I need all the help I can get. F1 monkeys make this game what it is tho, I think we need more acknowledgement.</t>
  </si>
  <si>
    <t>511200_2873852</t>
  </si>
  <si>
    <t>It looks like the mining price index has come down significantly in the last year or so. Isn’t that ideally where we want it to be?</t>
  </si>
  <si>
    <t>18m0xzk_4</t>
  </si>
  <si>
    <t>You know what to do right? Either make some yourself or have them shipped in and sell them for around 75% of his price. This forces him to either buy yours out (at a nice premium) to maintain the monopoly or you get paid twice what they're worth.</t>
  </si>
  <si>
    <t>https://us.forums.blizzard.com/en/wow/t/i-bet-blizzard-could-get-rid-of-99-of-botters-and-scammers-by-just/2307348</t>
  </si>
  <si>
    <t>3000013_19863281</t>
  </si>
  <si>
    <t>Yeah, I don’t doubt that’s their goal, unfortunately. In reality they will lose more money by not doing anything about bots though. Blizzards reputation as company has been in downward spiral for a few years and handling cheaters and bots worse than private servers is only going ruin it further. ...</t>
  </si>
  <si>
    <t>1s424mo_1</t>
  </si>
  <si>
    <t>Controversial topic but botting brings deflation for raw mats. It keeps flasks cheap for players who only have 2 hours a week to raid. Yes, it ruins gathering professions, but it saves mythic/raider progression times. It's a double-edged sword: a parasitic relationship that somehow makes consumab...</t>
  </si>
  <si>
    <t>487448_2723767</t>
  </si>
  <si>
    <t>Mephiztopheleze:  I would need to be maintaining hundreds of accounts via PLEX to truly influence that market.   I can sub alts to hoard plex if you want.</t>
  </si>
  <si>
    <t>1675072_21541815</t>
  </si>
  <si>
    <t>As per the title, the change they made to the reporting system in Classic wow is a massive help to botters. I spent a lot of time back in SOM adding botters to friends list and following them around. Everyday I would add more to the list and everyday I would report them. After a week or two, they...</t>
  </si>
  <si>
    <t>514029_2896860</t>
  </si>
  <si>
    <t>I think multiboxing is one of the unique features of EvE Online, and it makes this a better game. If any task is too easy, you can always do it on two or three accounts simultaneously. So you can scale up the difficulty of any activity.</t>
  </si>
  <si>
    <t>3000008_25929662</t>
  </si>
  <si>
    <t>Flask of DW is 34g on Dreamscythe and greater fpp is a gold. Y’all smokin crack, economy is fine. If gdkp was in that flask would be 200 frickin gold. When you buy gold for epic mount it gets deleted. When you buy gold for gdkp it gets put into circulation Also you think I’d have this cape of sap...</t>
  </si>
  <si>
    <t>3000005_25902990</t>
  </si>
  <si>
    <t>Lemonshark:  they do it in waves so that botters cant learn how their software detects them   So they’re 100% reliant on this software to ban bots? They can’t have an actual person scanning around in the game searching for bots? And why would allowing the bots to roam around for months be an acce...</t>
  </si>
  <si>
    <t>https://forums.eveonline.com/t/team-security-2026-bans/509129/124</t>
  </si>
  <si>
    <t>3000008_25925147</t>
  </si>
  <si>
    <t>Glorytime:  This is just blizzard being lazy and grand standing, pretending it solves the problem. Instead it creates a pay to play mentality   I don’t think it is just blizzard. The campaign put together by botters to ban gdkp has been one of the most entertaining things to watch unfold in this ...</t>
  </si>
  <si>
    <t>http://reddit.com/r/Eve/comments/1qkbren/are_gms_just_happy_with_pochven_botting/</t>
  </si>
  <si>
    <t>11pmlty_3</t>
  </si>
  <si>
    <t>Yeah, I've seen plenty of them. [URL_ANONYMIZED]</t>
  </si>
  <si>
    <t>3000011_23371464</t>
  </si>
  <si>
    <t>Çollege:  But I’ve seen people instantly kicked from bg’s from players spam reporting afk in retaliation for speaking up against afkers or premades.   i have yet to see this</t>
  </si>
  <si>
    <t>https://www.reddit.com/r/woweconomy/comments/1beecfw/bots_are_going_to_get_a_lot_worse_and_completely_ruin_the_economy/</t>
  </si>
  <si>
    <t>3000004_29505431</t>
  </si>
  <si>
    <t>Hiring like 3 guys to sit on WoW all day and watch for them.</t>
  </si>
  <si>
    <t>3000002_27797775</t>
  </si>
  <si>
    <t>Also, I should add: If every bot was banned tomorrow, Classic would be shut down.</t>
  </si>
  <si>
    <t>504046_2821565</t>
  </si>
  <si>
    <t>https://forums.eveonline.com/t/game-breaking-lack-of-enforcement-against-input-broadcasting-multi-input-automation/514029/34</t>
  </si>
  <si>
    <t>I totally agree with you and T3C is the next step for this character. It’s not as if its gone far beyond where it should be at 90m  sp considering there are characters with over 200. It’s in a great position to specialise in whatever the buyer feels appropriate. Considering you said 750m per 1b i...</t>
  </si>
  <si>
    <t>514029_2896760</t>
  </si>
  <si>
    <t>Distaine:  and all paying zero monthly to ccp.   You hit the nail on the head.</t>
  </si>
  <si>
    <t>511200_2872607</t>
  </si>
  <si>
    <t>I’ve been playing EVE for years and I’m tired of watching the economy tank. This isn’t just about “scarcity” or “prosperity”, it’s about the fact that CCP seems to be balancing the game for bots while the actual human players are the ones paying the price. I play with a single account. I don’t ha...</t>
  </si>
  <si>
    <t>https://www.reddit.com/r/Eve/comments/18m0xzk/first_time_ive_noticed_market_manipulation_in_the/</t>
  </si>
  <si>
    <t>511102_2872992</t>
  </si>
  <si>
    <t>Syzygium:  20k new people would. Or 50k.   where are you gonna find 20-50k new players who wanna stay and pay for a 20+ year old game that literally gets called space spreadsheets  And fyi highest confirmed I have heard/seen is over [ID_ANONYMIZED] accounts for one person</t>
  </si>
  <si>
    <t>509843_2862434</t>
  </si>
  <si>
    <t>Can we have more information about the shipcasters? Could the Exordium region be (ab)used to haul goods more safely between trade hubs?</t>
  </si>
  <si>
    <t>511102_2872352</t>
  </si>
  <si>
    <t>Kane Carnifex:  Without Multiboxers the price of plex will go down, since on paper there are fewer pilots to feed with omega through plex so the overall pressure of need is reduced. If there is even a pressure of it.   Wrong. On the contrary, plex prices will go up, as all those buying plex to se...</t>
  </si>
  <si>
    <t>3000005_25902738</t>
  </si>
  <si>
    <t>grats posting in gd will get you exactly no where. you need to report them and move on that is the only option you have to fight bots(well other than kill them). all you are doing by posting here is showing other people that have no power to do anything about it.</t>
  </si>
  <si>
    <t>https://www.reddit.com/r/classicwow/comments/1s424mo/botting_actually_helps_the_economy/</t>
  </si>
  <si>
    <t>487448_2723763</t>
  </si>
  <si>
    <t>And your point being? If I buy PLEX and use that to fund Omega Status, then that hasn’t had any direct influence on the economy at all. If I buy PLEX  and sell it for ISK, then I haven’t increased the ISK available in the economy. If I grind ISK and use that to purchase PLEX to maintain my Omega ...</t>
  </si>
  <si>
    <t>https://forums.eveonline.com/t/economy-thread/487448/22</t>
  </si>
  <si>
    <t>511004_2872117</t>
  </si>
  <si>
    <t>MB ThePhotographer:  Why should I not be able to fly alpha while having paying acct’s when I can only log on one alpha at a time with no paying acct’s online?   I tried to explain that. It won’t be a problem if an omega Player had another Alpha account to try out things here and there. Or dip int...</t>
  </si>
  <si>
    <t>510142_2864760</t>
  </si>
  <si>
    <t>Dyver Phycad:  C-Type Mining their roids/ice blocks? Iirc these crystals were created specifically for this kind of hostile gameplay.   Those are completely inefficient and only about 50% faster than Type BII mining. If a fleet of miners can sit mining for 12 hours, this means to ‘counter them’ y...</t>
  </si>
  <si>
    <t>https://us.forums.blizzard.com/en/wow/t/change-to-reporting-system-is-helping-bots-massively/1675072</t>
  </si>
  <si>
    <t>511102_2873001</t>
  </si>
  <si>
    <t>sounds like you suck in motivating people for your content. Any competent group could. The main reason you multibox that stuff is that you are incredibly greedy and have no intention to share the profits among 40 people. And because massmultiboxing is so incredible efficient in this game, no real...</t>
  </si>
  <si>
    <t>3000000_22977416</t>
  </si>
  <si>
    <t>well there ae two sides to inflation and deflation. it also could be a decrease in economic activity due to a pop decreasing and staying constant at a low level. if you make items to sell on AH deflation is EDITED****   NOT good.</t>
  </si>
  <si>
    <t>511200_2873959</t>
  </si>
  <si>
    <t>Geo Eclipse Oksaras:  Adapt or don’t   the classic fallback when you’ve got zero arguments left to defend a broken system</t>
  </si>
  <si>
    <t>513682_2893002</t>
  </si>
  <si>
    <t>Lokar Griman:  The problem is that when players repeatedly report the same behaviour from same group and see no visible improvement, they simply stop participating.   If Fenris takes no action (bear in mind that it can take them months to do it!), then it probably wasn’t input broadcasting, or it...</t>
  </si>
  <si>
    <t>https://us.forums.blizzard.com/en/wow/t/all-of-the-bad-none-of-the-good/2034435</t>
  </si>
  <si>
    <t>Módulo Estatístico de Concordância e Extração de Dados</t>
  </si>
  <si>
    <t>Resultados Estimados do Índice Kappa de Cohen</t>
  </si>
  <si>
    <t>Dimensão Metodológica</t>
  </si>
  <si>
    <t>Concordância Observada (Po)</t>
  </si>
  <si>
    <t>Concordância Aleatória (Pe)</t>
  </si>
  <si>
    <t>Cohen's Kappa (κ)</t>
  </si>
  <si>
    <t>Interpretação</t>
  </si>
  <si>
    <t>Tipologia de Interação (Cocriação)</t>
  </si>
  <si>
    <t>Mesa de Consenso Humano-vs-IA (Alvo de Extração para o Script de IA)</t>
  </si>
  <si>
    <t>Mapeamento exato do seu CSV. O script deve ler as colunas B até I a partir da linha 14.</t>
  </si>
  <si>
    <t>DART_IA</t>
  </si>
  <si>
    <t>Cocriacao_IA</t>
  </si>
  <si>
    <t>DART_Humano</t>
  </si>
  <si>
    <t>Cocriacao_Humano</t>
  </si>
  <si>
    <t>DART Coincide? (Fórmula)</t>
  </si>
  <si>
    <t>Cocriação Coincide? (Fórmula)</t>
  </si>
  <si>
    <t>risco</t>
  </si>
  <si>
    <t>parasitaria</t>
  </si>
  <si>
    <t>dialogo</t>
  </si>
  <si>
    <t>simetrica</t>
  </si>
  <si>
    <t>Resolução Coletiva de Discrepâncias</t>
  </si>
  <si>
    <t>Variável Em Disputa</t>
  </si>
  <si>
    <t>Voto Codificador 1</t>
  </si>
  <si>
    <t>Voto Codificador 2</t>
  </si>
  <si>
    <t>Consenso Final</t>
  </si>
  <si>
    <t>Regra de Ouro/Teórica Aplicada</t>
  </si>
  <si>
    <t>assimetrica</t>
  </si>
  <si>
    <t>acesso</t>
  </si>
  <si>
    <t>Auditoria Ética e Desinfetização</t>
  </si>
  <si>
    <t>Autor Revisor</t>
  </si>
  <si>
    <t>Username Pseudonimizado?</t>
  </si>
  <si>
    <t>Links de Hacks Removidos?</t>
  </si>
  <si>
    <t>Status de Conformidade</t>
  </si>
  <si>
    <t>Checklist de Coerência e Redação Final</t>
  </si>
  <si>
    <t>Componente Científica</t>
  </si>
  <si>
    <t>Critério de Verificação Empírica</t>
  </si>
  <si>
    <t>Estado</t>
  </si>
  <si>
    <t>Estatísticas Comparativas</t>
  </si>
  <si>
    <t>As métricas (WoW vs. EVE) no ficheiro .md batem certo com o encadeamento dos dados?</t>
  </si>
  <si>
    <t>?</t>
  </si>
  <si>
    <t>Pendente</t>
  </si>
  <si>
    <t>Questões de Investigação</t>
  </si>
  <si>
    <t>As 5 QIs foram respondidas com base nas citações empíricas validadas?</t>
  </si>
  <si>
    <t>Prevenção de Alucinações</t>
  </si>
  <si>
    <t>Auditoria de 100% das citações diretas integradas contra os textos originais.</t>
  </si>
  <si>
    <t>Limites Metodológicos</t>
  </si>
  <si>
    <t>A secção de limitações reflete a transição do score interno para o Kappa humano?</t>
  </si>
  <si>
    <t>https://www.reddit.com/r/Eve/comments/11pmlty/a_story_of_rmt/</t>
  </si>
  <si>
    <t>https://us.forums.blizzard.com/en/wow/t/aibotscheating-in-battlegrounds/1828475</t>
  </si>
  <si>
    <t>https://us.forums.blizzard.com/en/wow/t/95-of-botting-is-solved-by-blizzard-hiring-a-few-human-gms/2172195</t>
  </si>
  <si>
    <t>https://forums.eveonline.com/t/89m-versatile-pilot-sold/504046</t>
  </si>
  <si>
    <t>https://forums.eveonline.com/t/how-to-solve-the-multiboxing-problem-for-pve-make-it-a-challange/511102</t>
  </si>
  <si>
    <t>https://us.forums.blizzard.com/en/wow/t/classic-era-whitemane-us-is-experiancing-deflation-due-to-most-of-the-bots-moving-away-to-sod/1798425</t>
  </si>
  <si>
    <t>https://forums.eveonline.com/t/input-broadcasters-or-similar-programs/513682/30</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</si>
</sst>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rgb="FF1B365D"/>
      <name val="Quattrocento Sans"/>
    </font>
    <font>
      <i/>
      <sz val="9.0"/>
      <color rgb="FF555555"/>
      <name val="Quattrocento Sans"/>
    </font>
    <font>
      <b/>
      <sz val="10.0"/>
      <color rgb="FFFFFFFF"/>
      <name val="Quattrocento Sans"/>
    </font>
    <font>
      <sz val="10.0"/>
      <color rgb="FF000000"/>
      <name val="Quattrocento Sans"/>
    </font>
    <font>
      <u/>
      <sz val="10.0"/>
      <color rgb="FF000000"/>
      <name val="Quattrocento Sans"/>
    </font>
    <font>
      <u/>
      <sz val="11.0"/>
      <color rgb="FF0000FF"/>
      <name val="Calibri"/>
    </font>
    <font>
      <u/>
      <sz val="11.0"/>
      <color theme="10"/>
      <name val="Calibri"/>
    </font>
    <font>
      <b/>
      <sz val="12.0"/>
      <color rgb="FF1B365D"/>
      <name val="Quattrocento Sans"/>
    </font>
    <font>
      <b/>
      <sz val="10.0"/>
      <color rgb="FF000000"/>
      <name val="Quattrocento Sans"/>
    </font>
    <font>
      <sz val="11.0"/>
      <color theme="1"/>
      <name val="Calibri"/>
    </font>
  </fonts>
  <fills count="4">
    <fill>
      <patternFill patternType="none"/>
    </fill>
    <fill>
      <patternFill patternType="lightGray"/>
    </fill>
    <fill>
      <patternFill patternType="solid">
        <fgColor rgb="FF1B365D"/>
        <bgColor rgb="FF1B365D"/>
      </patternFill>
    </fill>
    <fill>
      <patternFill patternType="solid">
        <fgColor rgb="FFF8FAFC"/>
        <bgColor rgb="FFF8FAFC"/>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2" fontId="3" numFmtId="0" xfId="0" applyAlignment="1" applyBorder="1" applyFont="1">
      <alignment horizontal="center" readingOrder="0" shrinkToFit="0" vertical="center" wrapText="1"/>
    </xf>
    <xf borderId="1" fillId="3" fontId="4" numFmtId="0" xfId="0" applyAlignment="1" applyBorder="1" applyFill="1" applyFont="1">
      <alignment horizontal="center" shrinkToFit="0" vertical="center" wrapText="1"/>
    </xf>
    <xf borderId="1" fillId="3" fontId="4" numFmtId="0" xfId="0" applyAlignment="1" applyBorder="1" applyFont="1">
      <alignment horizontal="left" shrinkToFit="0" vertical="center" wrapText="1"/>
    </xf>
    <xf borderId="1" fillId="3" fontId="4" numFmtId="0" xfId="0" applyBorder="1" applyFont="1"/>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0" fontId="4" numFmtId="0" xfId="0" applyBorder="1" applyFont="1"/>
    <xf borderId="1" fillId="3" fontId="5" numFmtId="0" xfId="0" applyAlignment="1" applyBorder="1" applyFont="1">
      <alignment horizontal="left" shrinkToFit="0" vertical="center" wrapText="1"/>
    </xf>
    <xf borderId="1" fillId="3" fontId="6" numFmtId="0" xfId="0" applyAlignment="1" applyBorder="1" applyFont="1">
      <alignment readingOrder="0"/>
    </xf>
    <xf borderId="1" fillId="3" fontId="4" numFmtId="0" xfId="0" applyAlignment="1" applyBorder="1" applyFont="1">
      <alignment horizontal="center"/>
    </xf>
    <xf borderId="1" fillId="0" fontId="4" numFmtId="0" xfId="0" applyAlignment="1" applyBorder="1" applyFont="1">
      <alignment horizontal="center"/>
    </xf>
    <xf borderId="1" fillId="3" fontId="7" numFmtId="0" xfId="0" applyBorder="1" applyFont="1"/>
    <xf borderId="0" fillId="0" fontId="8" numFmtId="0" xfId="0" applyFont="1"/>
    <xf borderId="1" fillId="0" fontId="9" numFmtId="0" xfId="0" applyBorder="1" applyFont="1"/>
    <xf borderId="1" fillId="0" fontId="10" numFmtId="0" xfId="0" applyBorder="1" applyFont="1"/>
    <xf borderId="1" fillId="0"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s.forums.blizzard.com/en/wow/t/the-amount-of-botting-in-unacceptable/1525402" TargetMode="External"/><Relationship Id="rId2" Type="http://schemas.openxmlformats.org/officeDocument/2006/relationships/hyperlink" Target="https://forums.eveonline.com/t/introducing-exordium/509843/1181" TargetMode="External"/><Relationship Id="rId3" Type="http://schemas.openxmlformats.org/officeDocument/2006/relationships/hyperlink" Target="https://forums.eveonline.com/t/nerf-afk-moon-mining/510142/115" TargetMode="External"/><Relationship Id="rId4" Type="http://schemas.openxmlformats.org/officeDocument/2006/relationships/hyperlink" Target="https://us.forums.blizzard.com/en/wow/t/bots-on-nightslayer/2129768" TargetMode="External"/><Relationship Id="rId9" Type="http://schemas.openxmlformats.org/officeDocument/2006/relationships/drawing" Target="../drawings/drawing1.xml"/><Relationship Id="rId5" Type="http://schemas.openxmlformats.org/officeDocument/2006/relationships/hyperlink" Target="https://forums.eveonline.com/t/wondering-how-many-mega-multis-will-be-heading-to-exordium-to-avoid-ganks/509972/582" TargetMode="External"/><Relationship Id="rId6" Type="http://schemas.openxmlformats.org/officeDocument/2006/relationships/hyperlink" Target="https://www.reddit.com/r/woweconomy/comments/1beecfw/bots_are_going_to_get_a_lot_worse_and_completely_ruin_the_economy/" TargetMode="External"/><Relationship Id="rId7" Type="http://schemas.openxmlformats.org/officeDocument/2006/relationships/hyperlink" Target="https://us.forums.blizzard.com/en/wow/t/the-amount-of-botting-in-unacceptable/1525402" TargetMode="External"/><Relationship Id="rId8" Type="http://schemas.openxmlformats.org/officeDocument/2006/relationships/hyperlink" Target="https://forums.eveonline.com/t/game-breaking-lack-of-enforcement-against-input-broadcasting-multi-input-automation/514029/3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9.0"/>
    <col customWidth="1" min="3" max="3" width="20.0"/>
    <col customWidth="1" min="4" max="4" width="33.43"/>
    <col customWidth="1" min="5" max="5" width="20.0"/>
    <col customWidth="1" min="6" max="7" width="22.0"/>
    <col customWidth="1" min="8" max="8" width="11.0"/>
    <col customWidth="1" min="9" max="26" width="8.86"/>
  </cols>
  <sheetData>
    <row r="2">
      <c r="B2" s="1" t="s">
        <v>3</v>
      </c>
    </row>
    <row r="3">
      <c r="B3" s="2" t="s">
        <v>4</v>
      </c>
    </row>
    <row r="5">
      <c r="B5" s="3" t="s">
        <v>7</v>
      </c>
      <c r="C5" s="3" t="s">
        <v>9</v>
      </c>
      <c r="D5" s="3" t="s">
        <v>11</v>
      </c>
      <c r="E5" s="3" t="s">
        <v>13</v>
      </c>
      <c r="F5" s="3" t="s">
        <v>15</v>
      </c>
      <c r="G5" s="3" t="s">
        <v>18</v>
      </c>
      <c r="H5" s="3" t="s">
        <v>20</v>
      </c>
    </row>
    <row r="6">
      <c r="B6" s="5" t="s">
        <v>22</v>
      </c>
      <c r="C6" s="5" t="s">
        <v>23</v>
      </c>
      <c r="D6" s="12" t="s">
        <v>26</v>
      </c>
      <c r="E6" s="5" t="s">
        <v>27</v>
      </c>
      <c r="F6" s="13" t="s">
        <v>35</v>
      </c>
      <c r="G6" s="13" t="s">
        <v>37</v>
      </c>
      <c r="H6" s="7"/>
    </row>
    <row r="7">
      <c r="B7" s="8" t="s">
        <v>28</v>
      </c>
      <c r="C7" s="8" t="s">
        <v>29</v>
      </c>
      <c r="D7" s="10" t="s">
        <v>39</v>
      </c>
      <c r="E7" s="8" t="s">
        <v>25</v>
      </c>
      <c r="F7" s="14"/>
      <c r="G7" s="14"/>
      <c r="H7" s="10"/>
    </row>
    <row r="8">
      <c r="B8" s="5" t="s">
        <v>32</v>
      </c>
      <c r="C8" s="5" t="s">
        <v>23</v>
      </c>
      <c r="D8" s="7" t="s">
        <v>43</v>
      </c>
      <c r="E8" s="5" t="s">
        <v>31</v>
      </c>
      <c r="F8" s="13"/>
      <c r="G8" s="13"/>
      <c r="H8" s="7"/>
    </row>
    <row r="9">
      <c r="B9" s="8" t="s">
        <v>36</v>
      </c>
      <c r="C9" s="8" t="s">
        <v>29</v>
      </c>
      <c r="D9" s="10" t="s">
        <v>46</v>
      </c>
      <c r="E9" s="8" t="s">
        <v>34</v>
      </c>
      <c r="F9" s="14"/>
      <c r="G9" s="14"/>
      <c r="H9" s="10"/>
    </row>
    <row r="10">
      <c r="B10" s="5" t="s">
        <v>40</v>
      </c>
      <c r="C10" s="5" t="s">
        <v>29</v>
      </c>
      <c r="D10" s="15" t="s">
        <v>39</v>
      </c>
      <c r="E10" s="5" t="s">
        <v>27</v>
      </c>
      <c r="F10" s="13" t="s">
        <v>35</v>
      </c>
      <c r="G10" s="13" t="s">
        <v>37</v>
      </c>
      <c r="H10" s="7"/>
    </row>
    <row r="11">
      <c r="B11" s="8" t="s">
        <v>42</v>
      </c>
      <c r="C11" s="8" t="s">
        <v>23</v>
      </c>
      <c r="D11" s="10" t="s">
        <v>56</v>
      </c>
      <c r="E11" s="8" t="s">
        <v>25</v>
      </c>
      <c r="F11" s="14"/>
      <c r="G11" s="14"/>
      <c r="H11" s="10"/>
    </row>
    <row r="12">
      <c r="B12" s="5" t="s">
        <v>45</v>
      </c>
      <c r="C12" s="5" t="s">
        <v>23</v>
      </c>
      <c r="D12" s="7" t="s">
        <v>59</v>
      </c>
      <c r="E12" s="5" t="s">
        <v>31</v>
      </c>
      <c r="F12" s="13"/>
      <c r="G12" s="13"/>
      <c r="H12" s="7"/>
    </row>
    <row r="13">
      <c r="B13" s="8" t="s">
        <v>48</v>
      </c>
      <c r="C13" s="8" t="s">
        <v>29</v>
      </c>
      <c r="D13" s="10" t="s">
        <v>62</v>
      </c>
      <c r="E13" s="8" t="s">
        <v>34</v>
      </c>
      <c r="F13" s="14"/>
      <c r="G13" s="14"/>
      <c r="H13" s="10"/>
    </row>
    <row r="14">
      <c r="B14" s="5" t="s">
        <v>50</v>
      </c>
      <c r="C14" s="5" t="s">
        <v>29</v>
      </c>
      <c r="D14" s="15" t="s">
        <v>66</v>
      </c>
      <c r="E14" s="5" t="s">
        <v>27</v>
      </c>
      <c r="F14" s="13" t="s">
        <v>35</v>
      </c>
      <c r="G14" s="13" t="s">
        <v>37</v>
      </c>
      <c r="H14" s="7"/>
    </row>
    <row r="15">
      <c r="B15" s="8" t="s">
        <v>52</v>
      </c>
      <c r="C15" s="8" t="s">
        <v>29</v>
      </c>
      <c r="D15" s="10" t="s">
        <v>73</v>
      </c>
      <c r="E15" s="8" t="s">
        <v>25</v>
      </c>
      <c r="F15" s="14"/>
      <c r="G15" s="14"/>
      <c r="H15" s="10"/>
    </row>
    <row r="16">
      <c r="B16" s="5" t="s">
        <v>54</v>
      </c>
      <c r="C16" s="5" t="s">
        <v>29</v>
      </c>
      <c r="D16" s="7" t="s">
        <v>76</v>
      </c>
      <c r="E16" s="5" t="s">
        <v>31</v>
      </c>
      <c r="F16" s="13"/>
      <c r="G16" s="13"/>
      <c r="H16" s="7"/>
    </row>
    <row r="17">
      <c r="B17" s="8" t="s">
        <v>57</v>
      </c>
      <c r="C17" s="8" t="s">
        <v>29</v>
      </c>
      <c r="D17" s="10" t="s">
        <v>79</v>
      </c>
      <c r="E17" s="8" t="s">
        <v>34</v>
      </c>
      <c r="F17" s="14"/>
      <c r="G17" s="14"/>
      <c r="H17" s="10"/>
    </row>
    <row r="18">
      <c r="B18" s="5" t="s">
        <v>60</v>
      </c>
      <c r="C18" s="5" t="s">
        <v>23</v>
      </c>
      <c r="D18" s="15" t="s">
        <v>83</v>
      </c>
      <c r="E18" s="5" t="s">
        <v>27</v>
      </c>
      <c r="F18" s="13" t="s">
        <v>35</v>
      </c>
      <c r="G18" s="13" t="s">
        <v>37</v>
      </c>
      <c r="H18" s="7"/>
    </row>
    <row r="19">
      <c r="B19" s="8" t="s">
        <v>63</v>
      </c>
      <c r="C19" s="8" t="s">
        <v>23</v>
      </c>
      <c r="D19" s="10" t="s">
        <v>90</v>
      </c>
      <c r="E19" s="8" t="s">
        <v>25</v>
      </c>
      <c r="F19" s="14"/>
      <c r="G19" s="14"/>
      <c r="H19" s="10"/>
    </row>
    <row r="20">
      <c r="B20" s="5" t="s">
        <v>65</v>
      </c>
      <c r="C20" s="5" t="s">
        <v>29</v>
      </c>
      <c r="D20" s="7" t="s">
        <v>76</v>
      </c>
      <c r="E20" s="5" t="s">
        <v>31</v>
      </c>
      <c r="F20" s="13"/>
      <c r="G20" s="13"/>
      <c r="H20" s="7"/>
    </row>
    <row r="21" ht="15.75" customHeight="1">
      <c r="B21" s="8" t="s">
        <v>68</v>
      </c>
      <c r="C21" s="8" t="s">
        <v>29</v>
      </c>
      <c r="D21" s="10" t="s">
        <v>66</v>
      </c>
      <c r="E21" s="8" t="s">
        <v>34</v>
      </c>
      <c r="F21" s="14"/>
      <c r="G21" s="14"/>
      <c r="H21" s="10"/>
    </row>
    <row r="22" ht="15.75" customHeight="1">
      <c r="B22" s="5" t="s">
        <v>70</v>
      </c>
      <c r="C22" s="5" t="s">
        <v>29</v>
      </c>
      <c r="D22" s="15" t="s">
        <v>79</v>
      </c>
      <c r="E22" s="5" t="s">
        <v>27</v>
      </c>
      <c r="F22" s="13" t="s">
        <v>35</v>
      </c>
      <c r="G22" s="13" t="s">
        <v>37</v>
      </c>
      <c r="H22" s="7"/>
    </row>
    <row r="23" ht="15.75" customHeight="1">
      <c r="B23" s="8" t="s">
        <v>72</v>
      </c>
      <c r="C23" s="8" t="s">
        <v>29</v>
      </c>
      <c r="D23" s="10" t="s">
        <v>105</v>
      </c>
      <c r="E23" s="8" t="s">
        <v>25</v>
      </c>
      <c r="F23" s="14"/>
      <c r="G23" s="14"/>
      <c r="H23" s="10"/>
    </row>
    <row r="24" ht="15.75" customHeight="1">
      <c r="B24" s="5" t="s">
        <v>75</v>
      </c>
      <c r="C24" s="5" t="s">
        <v>29</v>
      </c>
      <c r="D24" s="7" t="s">
        <v>108</v>
      </c>
      <c r="E24" s="5" t="s">
        <v>31</v>
      </c>
      <c r="F24" s="13"/>
      <c r="G24" s="13"/>
      <c r="H24" s="7"/>
    </row>
    <row r="25" ht="15.75" customHeight="1">
      <c r="B25" s="8" t="s">
        <v>78</v>
      </c>
      <c r="C25" s="8" t="s">
        <v>23</v>
      </c>
      <c r="D25" s="10" t="s">
        <v>83</v>
      </c>
      <c r="E25" s="8" t="s">
        <v>34</v>
      </c>
      <c r="F25" s="14"/>
      <c r="G25" s="14"/>
      <c r="H25" s="10"/>
    </row>
    <row r="26" ht="15.75" customHeight="1">
      <c r="B26" s="5" t="s">
        <v>81</v>
      </c>
      <c r="C26" s="5" t="s">
        <v>23</v>
      </c>
      <c r="D26" s="15" t="s">
        <v>113</v>
      </c>
      <c r="E26" s="5" t="s">
        <v>27</v>
      </c>
      <c r="F26" s="13" t="s">
        <v>35</v>
      </c>
      <c r="G26" s="13" t="s">
        <v>37</v>
      </c>
      <c r="H26" s="7"/>
    </row>
    <row r="27" ht="15.75" customHeight="1">
      <c r="B27" s="8" t="s">
        <v>84</v>
      </c>
      <c r="C27" s="8" t="s">
        <v>29</v>
      </c>
      <c r="D27" s="10" t="s">
        <v>119</v>
      </c>
      <c r="E27" s="8" t="s">
        <v>25</v>
      </c>
      <c r="F27" s="14"/>
      <c r="G27" s="14"/>
      <c r="H27" s="10"/>
    </row>
    <row r="28" ht="15.75" customHeight="1">
      <c r="B28" s="5" t="s">
        <v>86</v>
      </c>
      <c r="C28" s="5" t="s">
        <v>29</v>
      </c>
      <c r="D28" s="7" t="s">
        <v>73</v>
      </c>
      <c r="E28" s="5" t="s">
        <v>31</v>
      </c>
      <c r="F28" s="13"/>
      <c r="G28" s="13"/>
      <c r="H28" s="7"/>
    </row>
    <row r="29" ht="15.75" customHeight="1">
      <c r="B29" s="8" t="s">
        <v>88</v>
      </c>
      <c r="C29" s="8" t="s">
        <v>29</v>
      </c>
      <c r="D29" s="10" t="s">
        <v>125</v>
      </c>
      <c r="E29" s="8" t="s">
        <v>34</v>
      </c>
      <c r="F29" s="14"/>
      <c r="G29" s="14"/>
      <c r="H29" s="10"/>
    </row>
    <row r="30" ht="15.75" customHeight="1">
      <c r="B30" s="5" t="s">
        <v>91</v>
      </c>
      <c r="C30" s="5" t="s">
        <v>23</v>
      </c>
      <c r="D30" s="15" t="s">
        <v>26</v>
      </c>
      <c r="E30" s="5" t="s">
        <v>27</v>
      </c>
      <c r="F30" s="13" t="s">
        <v>35</v>
      </c>
      <c r="G30" s="13" t="s">
        <v>37</v>
      </c>
      <c r="H30" s="7"/>
    </row>
    <row r="31" ht="15.75" customHeight="1">
      <c r="B31" s="8" t="s">
        <v>93</v>
      </c>
      <c r="C31" s="8" t="s">
        <v>23</v>
      </c>
      <c r="D31" s="10" t="s">
        <v>134</v>
      </c>
      <c r="E31" s="8" t="s">
        <v>25</v>
      </c>
      <c r="F31" s="14"/>
      <c r="G31" s="14"/>
      <c r="H31" s="10"/>
    </row>
    <row r="32" ht="15.75" customHeight="1">
      <c r="B32" s="5" t="s">
        <v>95</v>
      </c>
      <c r="C32" s="5" t="s">
        <v>29</v>
      </c>
      <c r="D32" s="7" t="s">
        <v>137</v>
      </c>
      <c r="E32" s="5" t="s">
        <v>31</v>
      </c>
      <c r="F32" s="13"/>
      <c r="G32" s="13"/>
      <c r="H32" s="7"/>
    </row>
    <row r="33" ht="15.75" customHeight="1">
      <c r="B33" s="8" t="s">
        <v>97</v>
      </c>
      <c r="C33" s="8" t="s">
        <v>23</v>
      </c>
      <c r="D33" s="10" t="s">
        <v>142</v>
      </c>
      <c r="E33" s="8" t="s">
        <v>34</v>
      </c>
      <c r="F33" s="14"/>
      <c r="G33" s="14"/>
      <c r="H33" s="10"/>
    </row>
    <row r="34" ht="15.75" customHeight="1">
      <c r="B34" s="5" t="s">
        <v>99</v>
      </c>
      <c r="C34" s="5" t="s">
        <v>29</v>
      </c>
      <c r="D34" s="15" t="s">
        <v>119</v>
      </c>
      <c r="E34" s="5" t="s">
        <v>27</v>
      </c>
      <c r="F34" s="13" t="s">
        <v>35</v>
      </c>
      <c r="G34" s="13" t="s">
        <v>37</v>
      </c>
      <c r="H34" s="7"/>
    </row>
    <row r="35" ht="15.75" customHeight="1">
      <c r="B35" s="8" t="s">
        <v>101</v>
      </c>
      <c r="C35" s="8" t="s">
        <v>23</v>
      </c>
      <c r="D35" s="10" t="s">
        <v>151</v>
      </c>
      <c r="E35" s="8" t="s">
        <v>25</v>
      </c>
      <c r="F35" s="14"/>
      <c r="G35" s="14"/>
      <c r="H35" s="10"/>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6"/>
    <hyperlink r:id="rId2" ref="D10"/>
    <hyperlink r:id="rId3" ref="D14"/>
    <hyperlink r:id="rId4" ref="D18"/>
    <hyperlink r:id="rId5" ref="D22"/>
    <hyperlink r:id="rId6" ref="D26"/>
    <hyperlink r:id="rId7" ref="D30"/>
    <hyperlink r:id="rId8" ref="D34"/>
  </hyperlinks>
  <printOptions/>
  <pageMargins bottom="1.0" footer="0.0" header="0.0" left="0.75" right="0.75" top="1.0"/>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3.29"/>
    <col customWidth="1" min="3" max="3" width="98.0"/>
    <col customWidth="1" min="4" max="5" width="20.0"/>
    <col customWidth="1" min="6" max="7" width="22.0"/>
    <col customWidth="1" min="8" max="8" width="15.0"/>
    <col customWidth="1" min="9" max="26" width="8.86"/>
  </cols>
  <sheetData>
    <row r="2">
      <c r="B2" s="1" t="s">
        <v>0</v>
      </c>
      <c r="C2" s="1"/>
    </row>
    <row r="3">
      <c r="B3" s="2" t="s">
        <v>6</v>
      </c>
      <c r="C3" s="2"/>
    </row>
    <row r="5">
      <c r="C5" s="4" t="s">
        <v>8</v>
      </c>
      <c r="D5" s="3" t="s">
        <v>9</v>
      </c>
      <c r="E5" s="3" t="s">
        <v>13</v>
      </c>
      <c r="F5" s="3" t="s">
        <v>16</v>
      </c>
      <c r="G5" s="3" t="s">
        <v>19</v>
      </c>
      <c r="H5" s="3" t="s">
        <v>21</v>
      </c>
    </row>
    <row r="6">
      <c r="B6" s="6" t="s">
        <v>22</v>
      </c>
      <c r="C6" s="11" t="str">
        <f t="array" ref="C6">XLOOKUP(B6, Recolha!B6:B36, Recolha!D6:D36, "Não encontrado")</f>
        <v>https://us.forums.blizzard.com/en/wow/t/the-amount-of-botting-in-unacceptable/1525402</v>
      </c>
      <c r="D6" s="5" t="s">
        <v>23</v>
      </c>
      <c r="E6" s="5" t="s">
        <v>25</v>
      </c>
      <c r="F6" s="7"/>
      <c r="G6" s="7"/>
      <c r="H6" s="7"/>
    </row>
    <row r="7">
      <c r="B7" s="9" t="s">
        <v>28</v>
      </c>
      <c r="C7" s="11" t="str">
        <f t="array" ref="C7">XLOOKUP(B7, Recolha!B7:B37, Recolha!D7:D37, "Não encontrado")</f>
        <v>https://forums.eveonline.com/t/introducing-exordium/509843/1181</v>
      </c>
      <c r="D7" s="8" t="s">
        <v>29</v>
      </c>
      <c r="E7" s="8" t="s">
        <v>31</v>
      </c>
      <c r="F7" s="10"/>
      <c r="G7" s="10"/>
      <c r="H7" s="10"/>
    </row>
    <row r="8">
      <c r="B8" s="6" t="s">
        <v>32</v>
      </c>
      <c r="C8" s="11" t="str">
        <f t="array" ref="C8">XLOOKUP(B8, Recolha!B8:B38, Recolha!D8:D38, "Não encontrado")</f>
        <v>https://us.forums.blizzard.com/en/wow/t/does-microsoft-use-any-of-its-ai-technology-for-anything-related-to-world-of-warcraft/2248219</v>
      </c>
      <c r="D8" s="5" t="s">
        <v>23</v>
      </c>
      <c r="E8" s="5" t="s">
        <v>34</v>
      </c>
      <c r="F8" s="7"/>
      <c r="G8" s="7"/>
      <c r="H8" s="7"/>
    </row>
    <row r="9">
      <c r="B9" s="9" t="s">
        <v>36</v>
      </c>
      <c r="C9" s="11" t="str">
        <f t="array" ref="C9">XLOOKUP(B9, Recolha!B9:B39, Recolha!D9:D39, "Não encontrado")</f>
        <v>https://forums.eveonline.com/t/lol-safezones/511899/196</v>
      </c>
      <c r="D9" s="8" t="s">
        <v>29</v>
      </c>
      <c r="E9" s="8" t="s">
        <v>27</v>
      </c>
      <c r="F9" s="10"/>
      <c r="G9" s="10"/>
      <c r="H9" s="10"/>
    </row>
    <row r="10">
      <c r="B10" s="6" t="s">
        <v>40</v>
      </c>
      <c r="C10" s="11" t="str">
        <f t="array" ref="C10">XLOOKUP(B10, Recolha!B10:B40, Recolha!D10:D40, "Não encontrado")</f>
        <v>https://forums.eveonline.com/t/introducing-exordium/509843/1181</v>
      </c>
      <c r="D10" s="5" t="s">
        <v>29</v>
      </c>
      <c r="E10" s="5" t="s">
        <v>25</v>
      </c>
      <c r="F10" s="7"/>
      <c r="G10" s="7"/>
      <c r="H10" s="7"/>
    </row>
    <row r="11">
      <c r="B11" s="9" t="s">
        <v>42</v>
      </c>
      <c r="C11" s="11" t="str">
        <f t="array" ref="C11">XLOOKUP(B11, Recolha!B11:B41, Recolha!D11:D41, "Não encontrado")</f>
        <v>https://us.forums.blizzard.com/en/wow/t/will-history-repeat-itself-with-the-bot-crisis-when-the-servers-launch/2012234</v>
      </c>
      <c r="D11" s="8" t="s">
        <v>23</v>
      </c>
      <c r="E11" s="8" t="s">
        <v>31</v>
      </c>
      <c r="F11" s="10"/>
      <c r="G11" s="10"/>
      <c r="H11" s="10"/>
    </row>
    <row r="12">
      <c r="B12" s="6" t="s">
        <v>45</v>
      </c>
      <c r="C12" s="11" t="str">
        <f t="array" ref="C12">XLOOKUP(B12, Recolha!B12:B42, Recolha!D12:D42, "Não encontrado")</f>
        <v>https://us.forums.blizzard.com/en/wow/t/video-evidence-of-bot/2032803</v>
      </c>
      <c r="D12" s="5" t="s">
        <v>23</v>
      </c>
      <c r="E12" s="5" t="s">
        <v>34</v>
      </c>
      <c r="F12" s="7"/>
      <c r="G12" s="7"/>
      <c r="H12" s="7"/>
    </row>
    <row r="13">
      <c r="B13" s="9" t="s">
        <v>48</v>
      </c>
      <c r="C13" s="11" t="str">
        <f t="array" ref="C13">XLOOKUP(B13, Recolha!B13:B43, Recolha!D13:D43, "Não encontrado")</f>
        <v>https://forums.eveonline.com/t/separate-space-for-newbies/507777/478</v>
      </c>
      <c r="D13" s="8" t="s">
        <v>29</v>
      </c>
      <c r="E13" s="8" t="s">
        <v>27</v>
      </c>
      <c r="F13" s="10"/>
      <c r="G13" s="10"/>
      <c r="H13" s="10"/>
    </row>
    <row r="14">
      <c r="B14" s="6" t="s">
        <v>50</v>
      </c>
      <c r="C14" s="11" t="str">
        <f t="array" ref="C14">XLOOKUP(B14, Recolha!B14:B44, Recolha!D14:D44, "Não encontrado")</f>
        <v>https://forums.eveonline.com/t/nerf-afk-moon-mining/510142/115</v>
      </c>
      <c r="D14" s="5" t="s">
        <v>29</v>
      </c>
      <c r="E14" s="5" t="s">
        <v>25</v>
      </c>
      <c r="F14" s="7"/>
      <c r="G14" s="7"/>
      <c r="H14" s="7"/>
    </row>
    <row r="15">
      <c r="B15" s="9" t="s">
        <v>52</v>
      </c>
      <c r="C15" s="11" t="str">
        <f t="array" ref="C15">XLOOKUP(B15, Recolha!B15:B45, Recolha!D15:D45, "Não encontrado")</f>
        <v>https://forums.eveonline.com/t/why-is-ccp-punishing-real-players-while-looking-the-other-way-on-botting/511200/99</v>
      </c>
      <c r="D15" s="8" t="s">
        <v>29</v>
      </c>
      <c r="E15" s="8" t="s">
        <v>31</v>
      </c>
      <c r="F15" s="10"/>
      <c r="G15" s="10"/>
      <c r="H15" s="10"/>
    </row>
    <row r="16">
      <c r="B16" s="6" t="s">
        <v>54</v>
      </c>
      <c r="C16" s="11" t="str">
        <f t="array" ref="C16">XLOOKUP(B16, Recolha!B16:B46, Recolha!D16:D46, "Não encontrado")</f>
        <v>https://forums.eveonline.com/t/limitation-of-alpha-accounts-to-veterans-omega-account-holders/511004/7</v>
      </c>
      <c r="D16" s="5" t="s">
        <v>29</v>
      </c>
      <c r="E16" s="5" t="s">
        <v>34</v>
      </c>
      <c r="F16" s="7"/>
      <c r="G16" s="7"/>
      <c r="H16" s="7"/>
    </row>
    <row r="17">
      <c r="B17" s="9" t="s">
        <v>57</v>
      </c>
      <c r="C17" s="11" t="str">
        <f t="array" ref="C17">XLOOKUP(B17, Recolha!B17:B47, Recolha!D17:D47, "Não encontrado")</f>
        <v>https://forums.eveonline.com/t/wondering-how-many-mega-multis-will-be-heading-to-exordium-to-avoid-ganks/509972/582</v>
      </c>
      <c r="D17" s="8" t="s">
        <v>29</v>
      </c>
      <c r="E17" s="8" t="s">
        <v>27</v>
      </c>
      <c r="F17" s="10"/>
      <c r="G17" s="10"/>
      <c r="H17" s="10"/>
    </row>
    <row r="18">
      <c r="B18" s="6" t="s">
        <v>60</v>
      </c>
      <c r="C18" s="11" t="str">
        <f t="array" ref="C18">XLOOKUP(B18, Recolha!B18:B48, Recolha!D18:D48, "Não encontrado")</f>
        <v>https://us.forums.blizzard.com/en/wow/t/bots-on-nightslayer/2129768</v>
      </c>
      <c r="D18" s="5" t="s">
        <v>23</v>
      </c>
      <c r="E18" s="5" t="s">
        <v>25</v>
      </c>
      <c r="F18" s="7"/>
      <c r="G18" s="7"/>
      <c r="H18" s="7"/>
    </row>
    <row r="19">
      <c r="B19" s="9" t="s">
        <v>63</v>
      </c>
      <c r="C19" s="11" t="str">
        <f t="array" ref="C19">XLOOKUP(B19, Recolha!B19:B49, Recolha!D19:D49, "Não encontrado")</f>
        <v>https://us.forums.blizzard.com/en/wow/t/i-bet-blizzard-could-get-rid-of-99-of-botters-and-scammers-by-just/2307348</v>
      </c>
      <c r="D19" s="8" t="s">
        <v>23</v>
      </c>
      <c r="E19" s="8" t="s">
        <v>31</v>
      </c>
      <c r="F19" s="10"/>
      <c r="G19" s="10"/>
      <c r="H19" s="10"/>
    </row>
    <row r="20">
      <c r="B20" s="6" t="s">
        <v>65</v>
      </c>
      <c r="C20" s="11" t="str">
        <f t="array" ref="C20">XLOOKUP(B20, Recolha!B20:B50, Recolha!D20:D50, "Não encontrado")</f>
        <v>https://forums.eveonline.com/t/limitation-of-alpha-accounts-to-veterans-omega-account-holders/511004/7</v>
      </c>
      <c r="D20" s="5" t="s">
        <v>29</v>
      </c>
      <c r="E20" s="5" t="s">
        <v>34</v>
      </c>
      <c r="F20" s="7"/>
      <c r="G20" s="7"/>
      <c r="H20" s="7"/>
    </row>
    <row r="21" ht="15.75" customHeight="1">
      <c r="B21" s="9" t="s">
        <v>68</v>
      </c>
      <c r="C21" s="11" t="str">
        <f t="array" ref="C21">XLOOKUP(B21, Recolha!B21:B51, Recolha!D21:D51, "Não encontrado")</f>
        <v>https://forums.eveonline.com/t/nerf-afk-moon-mining/510142/115</v>
      </c>
      <c r="D21" s="8" t="s">
        <v>29</v>
      </c>
      <c r="E21" s="8" t="s">
        <v>27</v>
      </c>
      <c r="F21" s="10"/>
      <c r="G21" s="10"/>
      <c r="H21" s="10"/>
    </row>
    <row r="22" ht="15.75" customHeight="1">
      <c r="B22" s="6" t="s">
        <v>70</v>
      </c>
      <c r="C22" s="11" t="str">
        <f t="array" ref="C22">XLOOKUP(B22, Recolha!B22:B52, Recolha!D22:D52, "Não encontrado")</f>
        <v>https://forums.eveonline.com/t/wondering-how-many-mega-multis-will-be-heading-to-exordium-to-avoid-ganks/509972/582</v>
      </c>
      <c r="D22" s="5" t="s">
        <v>29</v>
      </c>
      <c r="E22" s="5" t="s">
        <v>25</v>
      </c>
      <c r="F22" s="7"/>
      <c r="G22" s="7"/>
      <c r="H22" s="7"/>
    </row>
    <row r="23" ht="15.75" customHeight="1">
      <c r="B23" s="9" t="s">
        <v>72</v>
      </c>
      <c r="C23" s="11" t="str">
        <f t="array" ref="C23">XLOOKUP(B23, Recolha!B23:B53, Recolha!D23:D53, "Não encontrado")</f>
        <v>https://forums.eveonline.com/t/team-security-2026-bans/509129/124</v>
      </c>
      <c r="D23" s="8" t="s">
        <v>29</v>
      </c>
      <c r="E23" s="8" t="s">
        <v>31</v>
      </c>
      <c r="F23" s="10"/>
      <c r="G23" s="10"/>
      <c r="H23" s="10"/>
    </row>
    <row r="24" ht="15.75" customHeight="1">
      <c r="B24" s="6" t="s">
        <v>75</v>
      </c>
      <c r="C24" s="11" t="str">
        <f t="array" ref="C24">XLOOKUP(B24, Recolha!B24:B54, Recolha!D24:D54, "Não encontrado")</f>
        <v>http://reddit.com/r/Eve/comments/1qkbren/are_gms_just_happy_with_pochven_botting/</v>
      </c>
      <c r="D24" s="5" t="s">
        <v>29</v>
      </c>
      <c r="E24" s="5" t="s">
        <v>34</v>
      </c>
      <c r="F24" s="7"/>
      <c r="G24" s="7"/>
      <c r="H24" s="7"/>
    </row>
    <row r="25" ht="15.75" customHeight="1">
      <c r="B25" s="9" t="s">
        <v>78</v>
      </c>
      <c r="C25" s="11" t="str">
        <f t="array" ref="C25">XLOOKUP(B25, Recolha!B25:B55, Recolha!D25:D55, "Não encontrado")</f>
        <v>https://us.forums.blizzard.com/en/wow/t/bots-on-nightslayer/2129768</v>
      </c>
      <c r="D25" s="8" t="s">
        <v>23</v>
      </c>
      <c r="E25" s="8" t="s">
        <v>27</v>
      </c>
      <c r="F25" s="10"/>
      <c r="G25" s="10"/>
      <c r="H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9.0"/>
    <col customWidth="1" min="3" max="3" width="20.0"/>
    <col customWidth="1" min="4" max="4" width="45.0"/>
    <col customWidth="1" min="5" max="5" width="21.0"/>
    <col customWidth="1" min="6" max="6" width="16.0"/>
    <col customWidth="1" min="7" max="7" width="12.0"/>
    <col customWidth="1" min="8" max="8" width="11.0"/>
    <col customWidth="1" min="9" max="26" width="8.86"/>
  </cols>
  <sheetData>
    <row r="2">
      <c r="B2" s="1" t="s">
        <v>2</v>
      </c>
    </row>
    <row r="3">
      <c r="B3" s="2" t="s">
        <v>5</v>
      </c>
    </row>
    <row r="5">
      <c r="B5" s="3" t="s">
        <v>7</v>
      </c>
      <c r="C5" s="3" t="s">
        <v>9</v>
      </c>
      <c r="D5" s="3" t="s">
        <v>10</v>
      </c>
      <c r="E5" s="3" t="s">
        <v>12</v>
      </c>
      <c r="F5" s="3" t="s">
        <v>14</v>
      </c>
      <c r="G5" s="3" t="s">
        <v>17</v>
      </c>
      <c r="H5" s="3" t="s">
        <v>20</v>
      </c>
    </row>
    <row r="6">
      <c r="B6" s="5" t="s">
        <v>22</v>
      </c>
      <c r="C6" s="5" t="s">
        <v>23</v>
      </c>
      <c r="D6" s="6" t="s">
        <v>24</v>
      </c>
      <c r="E6" s="5" t="s">
        <v>27</v>
      </c>
      <c r="F6" s="7"/>
      <c r="G6" s="7"/>
      <c r="H6" s="7"/>
    </row>
    <row r="7">
      <c r="B7" s="8" t="s">
        <v>28</v>
      </c>
      <c r="C7" s="8" t="s">
        <v>29</v>
      </c>
      <c r="D7" s="9" t="s">
        <v>30</v>
      </c>
      <c r="E7" s="8" t="s">
        <v>25</v>
      </c>
      <c r="F7" s="10"/>
      <c r="G7" s="10"/>
      <c r="H7" s="10"/>
    </row>
    <row r="8">
      <c r="B8" s="5" t="s">
        <v>32</v>
      </c>
      <c r="C8" s="5" t="s">
        <v>23</v>
      </c>
      <c r="D8" s="6" t="s">
        <v>33</v>
      </c>
      <c r="E8" s="5" t="s">
        <v>31</v>
      </c>
      <c r="F8" s="7"/>
      <c r="G8" s="7"/>
      <c r="H8" s="7"/>
    </row>
    <row r="9">
      <c r="B9" s="8" t="s">
        <v>36</v>
      </c>
      <c r="C9" s="8" t="s">
        <v>29</v>
      </c>
      <c r="D9" s="9" t="s">
        <v>38</v>
      </c>
      <c r="E9" s="8" t="s">
        <v>34</v>
      </c>
      <c r="F9" s="10"/>
      <c r="G9" s="10"/>
      <c r="H9" s="10"/>
    </row>
    <row r="10">
      <c r="B10" s="5" t="s">
        <v>40</v>
      </c>
      <c r="C10" s="5" t="s">
        <v>29</v>
      </c>
      <c r="D10" s="6" t="s">
        <v>41</v>
      </c>
      <c r="E10" s="5" t="s">
        <v>27</v>
      </c>
      <c r="F10" s="7"/>
      <c r="G10" s="7"/>
      <c r="H10" s="7"/>
    </row>
    <row r="11">
      <c r="B11" s="8" t="s">
        <v>42</v>
      </c>
      <c r="C11" s="8" t="s">
        <v>23</v>
      </c>
      <c r="D11" s="9" t="s">
        <v>44</v>
      </c>
      <c r="E11" s="8" t="s">
        <v>25</v>
      </c>
      <c r="F11" s="10"/>
      <c r="G11" s="10"/>
      <c r="H11" s="10"/>
    </row>
    <row r="12">
      <c r="B12" s="5" t="s">
        <v>45</v>
      </c>
      <c r="C12" s="5" t="s">
        <v>23</v>
      </c>
      <c r="D12" s="6" t="s">
        <v>47</v>
      </c>
      <c r="E12" s="5" t="s">
        <v>31</v>
      </c>
      <c r="F12" s="7"/>
      <c r="G12" s="7"/>
      <c r="H12" s="7"/>
    </row>
    <row r="13">
      <c r="B13" s="8" t="s">
        <v>48</v>
      </c>
      <c r="C13" s="8" t="s">
        <v>29</v>
      </c>
      <c r="D13" s="9" t="s">
        <v>49</v>
      </c>
      <c r="E13" s="8" t="s">
        <v>34</v>
      </c>
      <c r="F13" s="10"/>
      <c r="G13" s="10"/>
      <c r="H13" s="10"/>
    </row>
    <row r="14">
      <c r="B14" s="5" t="s">
        <v>50</v>
      </c>
      <c r="C14" s="5" t="s">
        <v>29</v>
      </c>
      <c r="D14" s="6" t="s">
        <v>51</v>
      </c>
      <c r="E14" s="5" t="s">
        <v>27</v>
      </c>
      <c r="F14" s="7"/>
      <c r="G14" s="7"/>
      <c r="H14" s="7"/>
    </row>
    <row r="15">
      <c r="B15" s="8" t="s">
        <v>52</v>
      </c>
      <c r="C15" s="8" t="s">
        <v>29</v>
      </c>
      <c r="D15" s="9" t="s">
        <v>53</v>
      </c>
      <c r="E15" s="8" t="s">
        <v>25</v>
      </c>
      <c r="F15" s="10"/>
      <c r="G15" s="10"/>
      <c r="H15" s="10"/>
    </row>
    <row r="16">
      <c r="B16" s="5" t="s">
        <v>54</v>
      </c>
      <c r="C16" s="5" t="s">
        <v>29</v>
      </c>
      <c r="D16" s="6" t="s">
        <v>55</v>
      </c>
      <c r="E16" s="5" t="s">
        <v>31</v>
      </c>
      <c r="F16" s="7"/>
      <c r="G16" s="7"/>
      <c r="H16" s="7"/>
    </row>
    <row r="17">
      <c r="B17" s="8" t="s">
        <v>57</v>
      </c>
      <c r="C17" s="8" t="s">
        <v>29</v>
      </c>
      <c r="D17" s="9" t="s">
        <v>58</v>
      </c>
      <c r="E17" s="8" t="s">
        <v>34</v>
      </c>
      <c r="F17" s="10"/>
      <c r="G17" s="10"/>
      <c r="H17" s="10"/>
    </row>
    <row r="18">
      <c r="B18" s="5" t="s">
        <v>60</v>
      </c>
      <c r="C18" s="5" t="s">
        <v>23</v>
      </c>
      <c r="D18" s="6" t="s">
        <v>61</v>
      </c>
      <c r="E18" s="5" t="s">
        <v>27</v>
      </c>
      <c r="F18" s="7"/>
      <c r="G18" s="7"/>
      <c r="H18" s="7"/>
    </row>
    <row r="19">
      <c r="B19" s="8" t="s">
        <v>63</v>
      </c>
      <c r="C19" s="8" t="s">
        <v>23</v>
      </c>
      <c r="D19" s="9" t="s">
        <v>64</v>
      </c>
      <c r="E19" s="8" t="s">
        <v>25</v>
      </c>
      <c r="F19" s="10"/>
      <c r="G19" s="10"/>
      <c r="H19" s="10"/>
    </row>
    <row r="20">
      <c r="B20" s="5" t="s">
        <v>65</v>
      </c>
      <c r="C20" s="5" t="s">
        <v>29</v>
      </c>
      <c r="D20" s="6" t="s">
        <v>67</v>
      </c>
      <c r="E20" s="5" t="s">
        <v>31</v>
      </c>
      <c r="F20" s="7"/>
      <c r="G20" s="7"/>
      <c r="H20" s="7"/>
    </row>
    <row r="21" ht="15.75" customHeight="1">
      <c r="B21" s="8" t="s">
        <v>68</v>
      </c>
      <c r="C21" s="8" t="s">
        <v>29</v>
      </c>
      <c r="D21" s="9" t="s">
        <v>69</v>
      </c>
      <c r="E21" s="8" t="s">
        <v>34</v>
      </c>
      <c r="F21" s="10"/>
      <c r="G21" s="10"/>
      <c r="H21" s="10"/>
    </row>
    <row r="22" ht="15.75" customHeight="1">
      <c r="B22" s="5" t="s">
        <v>70</v>
      </c>
      <c r="C22" s="5" t="s">
        <v>29</v>
      </c>
      <c r="D22" s="6" t="s">
        <v>71</v>
      </c>
      <c r="E22" s="5" t="s">
        <v>27</v>
      </c>
      <c r="F22" s="7"/>
      <c r="G22" s="7"/>
      <c r="H22" s="7"/>
    </row>
    <row r="23" ht="15.75" customHeight="1">
      <c r="B23" s="8" t="s">
        <v>72</v>
      </c>
      <c r="C23" s="8" t="s">
        <v>29</v>
      </c>
      <c r="D23" s="9" t="s">
        <v>74</v>
      </c>
      <c r="E23" s="8" t="s">
        <v>25</v>
      </c>
      <c r="F23" s="10"/>
      <c r="G23" s="10"/>
      <c r="H23" s="10"/>
    </row>
    <row r="24" ht="15.75" customHeight="1">
      <c r="B24" s="5" t="s">
        <v>75</v>
      </c>
      <c r="C24" s="5" t="s">
        <v>29</v>
      </c>
      <c r="D24" s="6" t="s">
        <v>77</v>
      </c>
      <c r="E24" s="5" t="s">
        <v>31</v>
      </c>
      <c r="F24" s="7"/>
      <c r="G24" s="7"/>
      <c r="H24" s="7"/>
    </row>
    <row r="25" ht="15.75" customHeight="1">
      <c r="B25" s="8" t="s">
        <v>78</v>
      </c>
      <c r="C25" s="8" t="s">
        <v>23</v>
      </c>
      <c r="D25" s="9" t="s">
        <v>80</v>
      </c>
      <c r="E25" s="8" t="s">
        <v>34</v>
      </c>
      <c r="F25" s="10"/>
      <c r="G25" s="10"/>
      <c r="H25" s="10"/>
    </row>
    <row r="26" ht="15.75" customHeight="1">
      <c r="B26" s="5" t="s">
        <v>81</v>
      </c>
      <c r="C26" s="5" t="s">
        <v>23</v>
      </c>
      <c r="D26" s="6" t="s">
        <v>82</v>
      </c>
      <c r="E26" s="5" t="s">
        <v>27</v>
      </c>
      <c r="F26" s="7"/>
      <c r="G26" s="7"/>
      <c r="H26" s="7"/>
    </row>
    <row r="27" ht="15.75" customHeight="1">
      <c r="B27" s="8" t="s">
        <v>84</v>
      </c>
      <c r="C27" s="8" t="s">
        <v>29</v>
      </c>
      <c r="D27" s="9" t="s">
        <v>85</v>
      </c>
      <c r="E27" s="8" t="s">
        <v>25</v>
      </c>
      <c r="F27" s="10"/>
      <c r="G27" s="10"/>
      <c r="H27" s="10"/>
    </row>
    <row r="28" ht="15.75" customHeight="1">
      <c r="B28" s="5" t="s">
        <v>86</v>
      </c>
      <c r="C28" s="5" t="s">
        <v>29</v>
      </c>
      <c r="D28" s="6" t="s">
        <v>87</v>
      </c>
      <c r="E28" s="5" t="s">
        <v>31</v>
      </c>
      <c r="F28" s="7"/>
      <c r="G28" s="7"/>
      <c r="H28" s="7"/>
    </row>
    <row r="29" ht="15.75" customHeight="1">
      <c r="B29" s="8" t="s">
        <v>88</v>
      </c>
      <c r="C29" s="8" t="s">
        <v>29</v>
      </c>
      <c r="D29" s="9" t="s">
        <v>89</v>
      </c>
      <c r="E29" s="8" t="s">
        <v>34</v>
      </c>
      <c r="F29" s="10"/>
      <c r="G29" s="10"/>
      <c r="H29" s="10"/>
    </row>
    <row r="30" ht="15.75" customHeight="1">
      <c r="B30" s="5" t="s">
        <v>91</v>
      </c>
      <c r="C30" s="5" t="s">
        <v>23</v>
      </c>
      <c r="D30" s="6" t="s">
        <v>92</v>
      </c>
      <c r="E30" s="5" t="s">
        <v>27</v>
      </c>
      <c r="F30" s="7"/>
      <c r="G30" s="7"/>
      <c r="H30" s="7"/>
    </row>
    <row r="31" ht="15.75" customHeight="1">
      <c r="B31" s="8" t="s">
        <v>93</v>
      </c>
      <c r="C31" s="8" t="s">
        <v>23</v>
      </c>
      <c r="D31" s="9" t="s">
        <v>94</v>
      </c>
      <c r="E31" s="8" t="s">
        <v>25</v>
      </c>
      <c r="F31" s="10"/>
      <c r="G31" s="10"/>
      <c r="H31" s="10"/>
    </row>
    <row r="32" ht="15.75" customHeight="1">
      <c r="B32" s="5" t="s">
        <v>95</v>
      </c>
      <c r="C32" s="5" t="s">
        <v>29</v>
      </c>
      <c r="D32" s="6" t="s">
        <v>96</v>
      </c>
      <c r="E32" s="5" t="s">
        <v>31</v>
      </c>
      <c r="F32" s="7"/>
      <c r="G32" s="7"/>
      <c r="H32" s="7"/>
    </row>
    <row r="33" ht="15.75" customHeight="1">
      <c r="B33" s="8" t="s">
        <v>97</v>
      </c>
      <c r="C33" s="8" t="s">
        <v>23</v>
      </c>
      <c r="D33" s="9" t="s">
        <v>98</v>
      </c>
      <c r="E33" s="8" t="s">
        <v>34</v>
      </c>
      <c r="F33" s="10"/>
      <c r="G33" s="10"/>
      <c r="H33" s="10"/>
    </row>
    <row r="34" ht="15.75" customHeight="1">
      <c r="B34" s="5" t="s">
        <v>99</v>
      </c>
      <c r="C34" s="5" t="s">
        <v>29</v>
      </c>
      <c r="D34" s="6" t="s">
        <v>100</v>
      </c>
      <c r="E34" s="5" t="s">
        <v>27</v>
      </c>
      <c r="F34" s="7"/>
      <c r="G34" s="7"/>
      <c r="H34" s="7"/>
    </row>
    <row r="35" ht="15.75" customHeight="1">
      <c r="B35" s="8" t="s">
        <v>101</v>
      </c>
      <c r="C35" s="8" t="s">
        <v>23</v>
      </c>
      <c r="D35" s="9" t="s">
        <v>102</v>
      </c>
      <c r="E35" s="8" t="s">
        <v>25</v>
      </c>
      <c r="F35" s="10"/>
      <c r="G35" s="10"/>
      <c r="H35" s="10"/>
    </row>
    <row r="36" ht="15.75" customHeight="1">
      <c r="B36" s="5" t="s">
        <v>103</v>
      </c>
      <c r="C36" s="5" t="s">
        <v>23</v>
      </c>
      <c r="D36" s="6" t="s">
        <v>104</v>
      </c>
      <c r="E36" s="5" t="s">
        <v>31</v>
      </c>
      <c r="F36" s="7"/>
      <c r="G36" s="7"/>
      <c r="H36" s="7"/>
    </row>
    <row r="37" ht="15.75" customHeight="1">
      <c r="B37" s="8" t="s">
        <v>106</v>
      </c>
      <c r="C37" s="8" t="s">
        <v>23</v>
      </c>
      <c r="D37" s="9" t="s">
        <v>107</v>
      </c>
      <c r="E37" s="8" t="s">
        <v>34</v>
      </c>
      <c r="F37" s="10"/>
      <c r="G37" s="10"/>
      <c r="H37" s="10"/>
    </row>
    <row r="38" ht="15.75" customHeight="1">
      <c r="B38" s="5" t="s">
        <v>109</v>
      </c>
      <c r="C38" s="5" t="s">
        <v>29</v>
      </c>
      <c r="D38" s="6" t="s">
        <v>110</v>
      </c>
      <c r="E38" s="5" t="s">
        <v>27</v>
      </c>
      <c r="F38" s="7"/>
      <c r="G38" s="7"/>
      <c r="H38" s="7"/>
    </row>
    <row r="39" ht="15.75" customHeight="1">
      <c r="B39" s="8" t="s">
        <v>111</v>
      </c>
      <c r="C39" s="8" t="s">
        <v>23</v>
      </c>
      <c r="D39" s="9" t="s">
        <v>112</v>
      </c>
      <c r="E39" s="8" t="s">
        <v>25</v>
      </c>
      <c r="F39" s="10"/>
      <c r="G39" s="10"/>
      <c r="H39" s="10"/>
    </row>
    <row r="40" ht="15.75" customHeight="1">
      <c r="B40" s="5" t="s">
        <v>114</v>
      </c>
      <c r="C40" s="5" t="s">
        <v>23</v>
      </c>
      <c r="D40" s="6" t="s">
        <v>115</v>
      </c>
      <c r="E40" s="5" t="s">
        <v>31</v>
      </c>
      <c r="F40" s="7"/>
      <c r="G40" s="7"/>
      <c r="H40" s="7"/>
    </row>
    <row r="41" ht="15.75" customHeight="1">
      <c r="B41" s="8" t="s">
        <v>116</v>
      </c>
      <c r="C41" s="8" t="s">
        <v>23</v>
      </c>
      <c r="D41" s="9" t="s">
        <v>117</v>
      </c>
      <c r="E41" s="8" t="s">
        <v>34</v>
      </c>
      <c r="F41" s="10"/>
      <c r="G41" s="10"/>
      <c r="H41" s="10"/>
    </row>
    <row r="42" ht="15.75" customHeight="1">
      <c r="B42" s="5" t="s">
        <v>118</v>
      </c>
      <c r="C42" s="5" t="s">
        <v>29</v>
      </c>
      <c r="D42" s="6" t="s">
        <v>120</v>
      </c>
      <c r="E42" s="5" t="s">
        <v>27</v>
      </c>
      <c r="F42" s="7"/>
      <c r="G42" s="7"/>
      <c r="H42" s="7"/>
    </row>
    <row r="43" ht="15.75" customHeight="1">
      <c r="B43" s="8" t="s">
        <v>121</v>
      </c>
      <c r="C43" s="8" t="s">
        <v>29</v>
      </c>
      <c r="D43" s="9" t="s">
        <v>122</v>
      </c>
      <c r="E43" s="8" t="s">
        <v>25</v>
      </c>
      <c r="F43" s="10"/>
      <c r="G43" s="10"/>
      <c r="H43" s="10"/>
    </row>
    <row r="44" ht="15.75" customHeight="1">
      <c r="B44" s="5" t="s">
        <v>123</v>
      </c>
      <c r="C44" s="5" t="s">
        <v>29</v>
      </c>
      <c r="D44" s="6" t="s">
        <v>124</v>
      </c>
      <c r="E44" s="5" t="s">
        <v>31</v>
      </c>
      <c r="F44" s="7"/>
      <c r="G44" s="7"/>
      <c r="H44" s="7"/>
    </row>
    <row r="45" ht="15.75" customHeight="1">
      <c r="B45" s="8" t="s">
        <v>126</v>
      </c>
      <c r="C45" s="8" t="s">
        <v>29</v>
      </c>
      <c r="D45" s="9" t="s">
        <v>127</v>
      </c>
      <c r="E45" s="8" t="s">
        <v>34</v>
      </c>
      <c r="F45" s="10"/>
      <c r="G45" s="10"/>
      <c r="H45" s="10"/>
    </row>
    <row r="46" ht="15.75" customHeight="1">
      <c r="B46" s="5" t="s">
        <v>128</v>
      </c>
      <c r="C46" s="5" t="s">
        <v>29</v>
      </c>
      <c r="D46" s="6" t="s">
        <v>129</v>
      </c>
      <c r="E46" s="5" t="s">
        <v>27</v>
      </c>
      <c r="F46" s="7"/>
      <c r="G46" s="7"/>
      <c r="H46" s="7"/>
    </row>
    <row r="47" ht="15.75" customHeight="1">
      <c r="B47" s="8" t="s">
        <v>130</v>
      </c>
      <c r="C47" s="8" t="s">
        <v>29</v>
      </c>
      <c r="D47" s="9" t="s">
        <v>131</v>
      </c>
      <c r="E47" s="8" t="s">
        <v>25</v>
      </c>
      <c r="F47" s="10"/>
      <c r="G47" s="10"/>
      <c r="H47" s="10"/>
    </row>
    <row r="48" ht="15.75" customHeight="1">
      <c r="B48" s="5" t="s">
        <v>132</v>
      </c>
      <c r="C48" s="5" t="s">
        <v>23</v>
      </c>
      <c r="D48" s="6" t="s">
        <v>133</v>
      </c>
      <c r="E48" s="5" t="s">
        <v>31</v>
      </c>
      <c r="F48" s="7"/>
      <c r="G48" s="7"/>
      <c r="H48" s="7"/>
    </row>
    <row r="49" ht="15.75" customHeight="1">
      <c r="B49" s="8" t="s">
        <v>135</v>
      </c>
      <c r="C49" s="8" t="s">
        <v>29</v>
      </c>
      <c r="D49" s="9" t="s">
        <v>136</v>
      </c>
      <c r="E49" s="8" t="s">
        <v>34</v>
      </c>
      <c r="F49" s="10"/>
      <c r="G49" s="10"/>
      <c r="H49" s="10"/>
    </row>
    <row r="50" ht="15.75" customHeight="1">
      <c r="B50" s="5" t="s">
        <v>138</v>
      </c>
      <c r="C50" s="5" t="s">
        <v>29</v>
      </c>
      <c r="D50" s="6" t="s">
        <v>139</v>
      </c>
      <c r="E50" s="5" t="s">
        <v>27</v>
      </c>
      <c r="F50" s="7"/>
      <c r="G50" s="7"/>
      <c r="H50" s="7"/>
    </row>
    <row r="51" ht="15.75" customHeight="1">
      <c r="B51" s="8" t="s">
        <v>140</v>
      </c>
      <c r="C51" s="8" t="s">
        <v>29</v>
      </c>
      <c r="D51" s="9" t="s">
        <v>141</v>
      </c>
      <c r="E51" s="8" t="s">
        <v>25</v>
      </c>
      <c r="F51" s="10"/>
      <c r="G51" s="10"/>
      <c r="H51" s="10"/>
    </row>
    <row r="52" ht="15.75" customHeight="1">
      <c r="B52" s="5" t="s">
        <v>143</v>
      </c>
      <c r="C52" s="5" t="s">
        <v>29</v>
      </c>
      <c r="D52" s="6" t="s">
        <v>144</v>
      </c>
      <c r="E52" s="5" t="s">
        <v>31</v>
      </c>
      <c r="F52" s="7"/>
      <c r="G52" s="7"/>
      <c r="H52" s="7"/>
    </row>
    <row r="53" ht="15.75" customHeight="1">
      <c r="B53" s="8" t="s">
        <v>145</v>
      </c>
      <c r="C53" s="8" t="s">
        <v>23</v>
      </c>
      <c r="D53" s="9" t="s">
        <v>146</v>
      </c>
      <c r="E53" s="8" t="s">
        <v>34</v>
      </c>
      <c r="F53" s="10"/>
      <c r="G53" s="10"/>
      <c r="H53" s="10"/>
    </row>
    <row r="54" ht="15.75" customHeight="1">
      <c r="B54" s="5" t="s">
        <v>147</v>
      </c>
      <c r="C54" s="5" t="s">
        <v>29</v>
      </c>
      <c r="D54" s="6" t="s">
        <v>148</v>
      </c>
      <c r="E54" s="5" t="s">
        <v>27</v>
      </c>
      <c r="F54" s="7"/>
      <c r="G54" s="7"/>
      <c r="H54" s="7"/>
    </row>
    <row r="55" ht="15.75" customHeight="1">
      <c r="B55" s="8" t="s">
        <v>149</v>
      </c>
      <c r="C55" s="8" t="s">
        <v>29</v>
      </c>
      <c r="D55" s="9" t="s">
        <v>150</v>
      </c>
      <c r="E55" s="8" t="s">
        <v>25</v>
      </c>
      <c r="F55" s="10"/>
      <c r="G55" s="10"/>
      <c r="H55" s="10"/>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9.0"/>
    <col customWidth="1" min="3" max="3" width="20.0"/>
    <col customWidth="1" min="4" max="4" width="45.0"/>
    <col customWidth="1" min="5" max="5" width="21.0"/>
    <col customWidth="1" min="6" max="6" width="16.0"/>
    <col customWidth="1" min="7" max="7" width="12.0"/>
    <col customWidth="1" min="8" max="8" width="11.0"/>
    <col customWidth="1" min="9" max="26" width="8.86"/>
  </cols>
  <sheetData>
    <row r="2">
      <c r="B2" s="1" t="s">
        <v>1</v>
      </c>
    </row>
    <row r="3">
      <c r="B3" s="2" t="s">
        <v>5</v>
      </c>
    </row>
    <row r="5">
      <c r="B5" s="3" t="s">
        <v>7</v>
      </c>
      <c r="C5" s="3" t="s">
        <v>9</v>
      </c>
      <c r="D5" s="3" t="s">
        <v>10</v>
      </c>
      <c r="E5" s="3" t="s">
        <v>12</v>
      </c>
      <c r="F5" s="3" t="s">
        <v>14</v>
      </c>
      <c r="G5" s="3" t="s">
        <v>17</v>
      </c>
      <c r="H5" s="3" t="s">
        <v>20</v>
      </c>
    </row>
    <row r="6">
      <c r="B6" s="5" t="s">
        <v>22</v>
      </c>
      <c r="C6" s="5" t="s">
        <v>23</v>
      </c>
      <c r="D6" s="6" t="s">
        <v>24</v>
      </c>
      <c r="E6" s="5" t="s">
        <v>25</v>
      </c>
      <c r="F6" s="7"/>
      <c r="G6" s="7"/>
      <c r="H6" s="7"/>
    </row>
    <row r="7">
      <c r="B7" s="8" t="s">
        <v>28</v>
      </c>
      <c r="C7" s="8" t="s">
        <v>29</v>
      </c>
      <c r="D7" s="9" t="s">
        <v>30</v>
      </c>
      <c r="E7" s="8" t="s">
        <v>31</v>
      </c>
      <c r="F7" s="10"/>
      <c r="G7" s="10"/>
      <c r="H7" s="10"/>
    </row>
    <row r="8">
      <c r="B8" s="5" t="s">
        <v>32</v>
      </c>
      <c r="C8" s="5" t="s">
        <v>23</v>
      </c>
      <c r="D8" s="6" t="s">
        <v>33</v>
      </c>
      <c r="E8" s="5" t="s">
        <v>34</v>
      </c>
      <c r="F8" s="7"/>
      <c r="G8" s="7"/>
      <c r="H8" s="7"/>
    </row>
    <row r="9">
      <c r="B9" s="8" t="s">
        <v>36</v>
      </c>
      <c r="C9" s="8" t="s">
        <v>29</v>
      </c>
      <c r="D9" s="9" t="s">
        <v>38</v>
      </c>
      <c r="E9" s="8" t="s">
        <v>27</v>
      </c>
      <c r="F9" s="10"/>
      <c r="G9" s="10"/>
      <c r="H9" s="10"/>
    </row>
    <row r="10">
      <c r="B10" s="5" t="s">
        <v>40</v>
      </c>
      <c r="C10" s="5" t="s">
        <v>29</v>
      </c>
      <c r="D10" s="6" t="s">
        <v>41</v>
      </c>
      <c r="E10" s="5" t="s">
        <v>25</v>
      </c>
      <c r="F10" s="7"/>
      <c r="G10" s="7"/>
      <c r="H10" s="7"/>
    </row>
    <row r="11">
      <c r="B11" s="8" t="s">
        <v>42</v>
      </c>
      <c r="C11" s="8" t="s">
        <v>23</v>
      </c>
      <c r="D11" s="9" t="s">
        <v>44</v>
      </c>
      <c r="E11" s="8" t="s">
        <v>31</v>
      </c>
      <c r="F11" s="10"/>
      <c r="G11" s="10"/>
      <c r="H11" s="10"/>
    </row>
    <row r="12">
      <c r="B12" s="5" t="s">
        <v>45</v>
      </c>
      <c r="C12" s="5" t="s">
        <v>23</v>
      </c>
      <c r="D12" s="6" t="s">
        <v>47</v>
      </c>
      <c r="E12" s="5" t="s">
        <v>34</v>
      </c>
      <c r="F12" s="7"/>
      <c r="G12" s="7"/>
      <c r="H12" s="7"/>
    </row>
    <row r="13">
      <c r="B13" s="8" t="s">
        <v>48</v>
      </c>
      <c r="C13" s="8" t="s">
        <v>29</v>
      </c>
      <c r="D13" s="9" t="s">
        <v>49</v>
      </c>
      <c r="E13" s="8" t="s">
        <v>27</v>
      </c>
      <c r="F13" s="10"/>
      <c r="G13" s="10"/>
      <c r="H13" s="10"/>
    </row>
    <row r="14">
      <c r="B14" s="5" t="s">
        <v>50</v>
      </c>
      <c r="C14" s="5" t="s">
        <v>29</v>
      </c>
      <c r="D14" s="6" t="s">
        <v>51</v>
      </c>
      <c r="E14" s="5" t="s">
        <v>25</v>
      </c>
      <c r="F14" s="7"/>
      <c r="G14" s="7"/>
      <c r="H14" s="7"/>
    </row>
    <row r="15">
      <c r="B15" s="8" t="s">
        <v>52</v>
      </c>
      <c r="C15" s="8" t="s">
        <v>29</v>
      </c>
      <c r="D15" s="9" t="s">
        <v>53</v>
      </c>
      <c r="E15" s="8" t="s">
        <v>31</v>
      </c>
      <c r="F15" s="10"/>
      <c r="G15" s="10"/>
      <c r="H15" s="10"/>
    </row>
    <row r="16">
      <c r="B16" s="5" t="s">
        <v>54</v>
      </c>
      <c r="C16" s="5" t="s">
        <v>29</v>
      </c>
      <c r="D16" s="6" t="s">
        <v>55</v>
      </c>
      <c r="E16" s="5" t="s">
        <v>34</v>
      </c>
      <c r="F16" s="7"/>
      <c r="G16" s="7"/>
      <c r="H16" s="7"/>
    </row>
    <row r="17">
      <c r="B17" s="8" t="s">
        <v>57</v>
      </c>
      <c r="C17" s="8" t="s">
        <v>29</v>
      </c>
      <c r="D17" s="9" t="s">
        <v>58</v>
      </c>
      <c r="E17" s="8" t="s">
        <v>27</v>
      </c>
      <c r="F17" s="10"/>
      <c r="G17" s="10"/>
      <c r="H17" s="10"/>
    </row>
    <row r="18">
      <c r="B18" s="5" t="s">
        <v>60</v>
      </c>
      <c r="C18" s="5" t="s">
        <v>23</v>
      </c>
      <c r="D18" s="6" t="s">
        <v>61</v>
      </c>
      <c r="E18" s="5" t="s">
        <v>25</v>
      </c>
      <c r="F18" s="7"/>
      <c r="G18" s="7"/>
      <c r="H18" s="7"/>
    </row>
    <row r="19">
      <c r="B19" s="8" t="s">
        <v>63</v>
      </c>
      <c r="C19" s="8" t="s">
        <v>23</v>
      </c>
      <c r="D19" s="9" t="s">
        <v>64</v>
      </c>
      <c r="E19" s="8" t="s">
        <v>31</v>
      </c>
      <c r="F19" s="10"/>
      <c r="G19" s="10"/>
      <c r="H19" s="10"/>
    </row>
    <row r="20">
      <c r="B20" s="5" t="s">
        <v>65</v>
      </c>
      <c r="C20" s="5" t="s">
        <v>29</v>
      </c>
      <c r="D20" s="6" t="s">
        <v>67</v>
      </c>
      <c r="E20" s="5" t="s">
        <v>34</v>
      </c>
      <c r="F20" s="7"/>
      <c r="G20" s="7"/>
      <c r="H20" s="7"/>
    </row>
    <row r="21" ht="15.75" customHeight="1">
      <c r="B21" s="8" t="s">
        <v>68</v>
      </c>
      <c r="C21" s="8" t="s">
        <v>29</v>
      </c>
      <c r="D21" s="9" t="s">
        <v>69</v>
      </c>
      <c r="E21" s="8" t="s">
        <v>27</v>
      </c>
      <c r="F21" s="10"/>
      <c r="G21" s="10"/>
      <c r="H21" s="10"/>
    </row>
    <row r="22" ht="15.75" customHeight="1">
      <c r="B22" s="5" t="s">
        <v>70</v>
      </c>
      <c r="C22" s="5" t="s">
        <v>29</v>
      </c>
      <c r="D22" s="6" t="s">
        <v>71</v>
      </c>
      <c r="E22" s="5" t="s">
        <v>25</v>
      </c>
      <c r="F22" s="7"/>
      <c r="G22" s="7"/>
      <c r="H22" s="7"/>
    </row>
    <row r="23" ht="15.75" customHeight="1">
      <c r="B23" s="8" t="s">
        <v>72</v>
      </c>
      <c r="C23" s="8" t="s">
        <v>29</v>
      </c>
      <c r="D23" s="9" t="s">
        <v>74</v>
      </c>
      <c r="E23" s="8" t="s">
        <v>31</v>
      </c>
      <c r="F23" s="10"/>
      <c r="G23" s="10"/>
      <c r="H23" s="10"/>
    </row>
    <row r="24" ht="15.75" customHeight="1">
      <c r="B24" s="5" t="s">
        <v>75</v>
      </c>
      <c r="C24" s="5" t="s">
        <v>29</v>
      </c>
      <c r="D24" s="6" t="s">
        <v>77</v>
      </c>
      <c r="E24" s="5" t="s">
        <v>34</v>
      </c>
      <c r="F24" s="7"/>
      <c r="G24" s="7"/>
      <c r="H24" s="7"/>
    </row>
    <row r="25" ht="15.75" customHeight="1">
      <c r="B25" s="8" t="s">
        <v>78</v>
      </c>
      <c r="C25" s="8" t="s">
        <v>23</v>
      </c>
      <c r="D25" s="9" t="s">
        <v>80</v>
      </c>
      <c r="E25" s="8" t="s">
        <v>27</v>
      </c>
      <c r="F25" s="10"/>
      <c r="G25" s="10"/>
      <c r="H25" s="10"/>
    </row>
    <row r="26" ht="15.75" customHeight="1">
      <c r="B26" s="5" t="s">
        <v>81</v>
      </c>
      <c r="C26" s="5" t="s">
        <v>23</v>
      </c>
      <c r="D26" s="6" t="s">
        <v>82</v>
      </c>
      <c r="E26" s="5" t="s">
        <v>25</v>
      </c>
      <c r="F26" s="7"/>
      <c r="G26" s="7"/>
      <c r="H26" s="7"/>
    </row>
    <row r="27" ht="15.75" customHeight="1">
      <c r="B27" s="8" t="s">
        <v>84</v>
      </c>
      <c r="C27" s="8" t="s">
        <v>29</v>
      </c>
      <c r="D27" s="9" t="s">
        <v>85</v>
      </c>
      <c r="E27" s="8" t="s">
        <v>31</v>
      </c>
      <c r="F27" s="10"/>
      <c r="G27" s="10"/>
      <c r="H27" s="10"/>
    </row>
    <row r="28" ht="15.75" customHeight="1">
      <c r="B28" s="5" t="s">
        <v>86</v>
      </c>
      <c r="C28" s="5" t="s">
        <v>29</v>
      </c>
      <c r="D28" s="6" t="s">
        <v>87</v>
      </c>
      <c r="E28" s="5" t="s">
        <v>34</v>
      </c>
      <c r="F28" s="7"/>
      <c r="G28" s="7"/>
      <c r="H28" s="7"/>
    </row>
    <row r="29" ht="15.75" customHeight="1">
      <c r="B29" s="8" t="s">
        <v>88</v>
      </c>
      <c r="C29" s="8" t="s">
        <v>29</v>
      </c>
      <c r="D29" s="9" t="s">
        <v>89</v>
      </c>
      <c r="E29" s="8" t="s">
        <v>27</v>
      </c>
      <c r="F29" s="10"/>
      <c r="G29" s="10"/>
      <c r="H29" s="10"/>
    </row>
    <row r="30" ht="15.75" customHeight="1">
      <c r="B30" s="5" t="s">
        <v>91</v>
      </c>
      <c r="C30" s="5" t="s">
        <v>23</v>
      </c>
      <c r="D30" s="6" t="s">
        <v>92</v>
      </c>
      <c r="E30" s="5" t="s">
        <v>25</v>
      </c>
      <c r="F30" s="7"/>
      <c r="G30" s="7"/>
      <c r="H30" s="7"/>
    </row>
    <row r="31" ht="15.75" customHeight="1">
      <c r="B31" s="8" t="s">
        <v>93</v>
      </c>
      <c r="C31" s="8" t="s">
        <v>23</v>
      </c>
      <c r="D31" s="9" t="s">
        <v>94</v>
      </c>
      <c r="E31" s="8" t="s">
        <v>31</v>
      </c>
      <c r="F31" s="10"/>
      <c r="G31" s="10"/>
      <c r="H31" s="10"/>
    </row>
    <row r="32" ht="15.75" customHeight="1">
      <c r="B32" s="5" t="s">
        <v>95</v>
      </c>
      <c r="C32" s="5" t="s">
        <v>29</v>
      </c>
      <c r="D32" s="6" t="s">
        <v>96</v>
      </c>
      <c r="E32" s="5" t="s">
        <v>34</v>
      </c>
      <c r="F32" s="7"/>
      <c r="G32" s="7"/>
      <c r="H32" s="7"/>
    </row>
    <row r="33" ht="15.75" customHeight="1">
      <c r="B33" s="8" t="s">
        <v>97</v>
      </c>
      <c r="C33" s="8" t="s">
        <v>23</v>
      </c>
      <c r="D33" s="9" t="s">
        <v>98</v>
      </c>
      <c r="E33" s="8" t="s">
        <v>27</v>
      </c>
      <c r="F33" s="10"/>
      <c r="G33" s="10"/>
      <c r="H33" s="10"/>
    </row>
    <row r="34" ht="15.75" customHeight="1">
      <c r="B34" s="5" t="s">
        <v>99</v>
      </c>
      <c r="C34" s="5" t="s">
        <v>29</v>
      </c>
      <c r="D34" s="6" t="s">
        <v>100</v>
      </c>
      <c r="E34" s="5" t="s">
        <v>25</v>
      </c>
      <c r="F34" s="7"/>
      <c r="G34" s="7"/>
      <c r="H34" s="7"/>
    </row>
    <row r="35" ht="15.75" customHeight="1">
      <c r="B35" s="8" t="s">
        <v>101</v>
      </c>
      <c r="C35" s="8" t="s">
        <v>23</v>
      </c>
      <c r="D35" s="9" t="s">
        <v>102</v>
      </c>
      <c r="E35" s="8" t="s">
        <v>31</v>
      </c>
      <c r="F35" s="10"/>
      <c r="G35" s="10"/>
      <c r="H35" s="10"/>
    </row>
    <row r="36" ht="15.75" customHeight="1">
      <c r="B36" s="5" t="s">
        <v>103</v>
      </c>
      <c r="C36" s="5" t="s">
        <v>23</v>
      </c>
      <c r="D36" s="6" t="s">
        <v>104</v>
      </c>
      <c r="E36" s="5" t="s">
        <v>34</v>
      </c>
      <c r="F36" s="7"/>
      <c r="G36" s="7"/>
      <c r="H36" s="7"/>
    </row>
    <row r="37" ht="15.75" customHeight="1">
      <c r="B37" s="8" t="s">
        <v>106</v>
      </c>
      <c r="C37" s="8" t="s">
        <v>23</v>
      </c>
      <c r="D37" s="9" t="s">
        <v>107</v>
      </c>
      <c r="E37" s="8" t="s">
        <v>27</v>
      </c>
      <c r="F37" s="10"/>
      <c r="G37" s="10"/>
      <c r="H37" s="10"/>
    </row>
    <row r="38" ht="15.75" customHeight="1">
      <c r="B38" s="5" t="s">
        <v>109</v>
      </c>
      <c r="C38" s="5" t="s">
        <v>29</v>
      </c>
      <c r="D38" s="6" t="s">
        <v>110</v>
      </c>
      <c r="E38" s="5" t="s">
        <v>25</v>
      </c>
      <c r="F38" s="7"/>
      <c r="G38" s="7"/>
      <c r="H38" s="7"/>
    </row>
    <row r="39" ht="15.75" customHeight="1">
      <c r="B39" s="8" t="s">
        <v>111</v>
      </c>
      <c r="C39" s="8" t="s">
        <v>23</v>
      </c>
      <c r="D39" s="9" t="s">
        <v>112</v>
      </c>
      <c r="E39" s="8" t="s">
        <v>31</v>
      </c>
      <c r="F39" s="10"/>
      <c r="G39" s="10"/>
      <c r="H39" s="10"/>
    </row>
    <row r="40" ht="15.75" customHeight="1">
      <c r="B40" s="5" t="s">
        <v>114</v>
      </c>
      <c r="C40" s="5" t="s">
        <v>23</v>
      </c>
      <c r="D40" s="6" t="s">
        <v>115</v>
      </c>
      <c r="E40" s="5" t="s">
        <v>34</v>
      </c>
      <c r="F40" s="7"/>
      <c r="G40" s="7"/>
      <c r="H40" s="7"/>
    </row>
    <row r="41" ht="15.75" customHeight="1">
      <c r="B41" s="8" t="s">
        <v>116</v>
      </c>
      <c r="C41" s="8" t="s">
        <v>23</v>
      </c>
      <c r="D41" s="9" t="s">
        <v>117</v>
      </c>
      <c r="E41" s="8" t="s">
        <v>27</v>
      </c>
      <c r="F41" s="10"/>
      <c r="G41" s="10"/>
      <c r="H41" s="10"/>
    </row>
    <row r="42" ht="15.75" customHeight="1">
      <c r="B42" s="5" t="s">
        <v>118</v>
      </c>
      <c r="C42" s="5" t="s">
        <v>29</v>
      </c>
      <c r="D42" s="6" t="s">
        <v>120</v>
      </c>
      <c r="E42" s="5" t="s">
        <v>25</v>
      </c>
      <c r="F42" s="7"/>
      <c r="G42" s="7"/>
      <c r="H42" s="7"/>
    </row>
    <row r="43" ht="15.75" customHeight="1">
      <c r="B43" s="8" t="s">
        <v>121</v>
      </c>
      <c r="C43" s="8" t="s">
        <v>29</v>
      </c>
      <c r="D43" s="9" t="s">
        <v>122</v>
      </c>
      <c r="E43" s="8" t="s">
        <v>31</v>
      </c>
      <c r="F43" s="10"/>
      <c r="G43" s="10"/>
      <c r="H43" s="10"/>
    </row>
    <row r="44" ht="15.75" customHeight="1">
      <c r="B44" s="5" t="s">
        <v>123</v>
      </c>
      <c r="C44" s="5" t="s">
        <v>29</v>
      </c>
      <c r="D44" s="6" t="s">
        <v>124</v>
      </c>
      <c r="E44" s="5" t="s">
        <v>34</v>
      </c>
      <c r="F44" s="7"/>
      <c r="G44" s="7"/>
      <c r="H44" s="7"/>
    </row>
    <row r="45" ht="15.75" customHeight="1">
      <c r="B45" s="8" t="s">
        <v>126</v>
      </c>
      <c r="C45" s="8" t="s">
        <v>29</v>
      </c>
      <c r="D45" s="9" t="s">
        <v>127</v>
      </c>
      <c r="E45" s="8" t="s">
        <v>27</v>
      </c>
      <c r="F45" s="10"/>
      <c r="G45" s="10"/>
      <c r="H45" s="10"/>
    </row>
    <row r="46" ht="15.75" customHeight="1">
      <c r="B46" s="5" t="s">
        <v>128</v>
      </c>
      <c r="C46" s="5" t="s">
        <v>29</v>
      </c>
      <c r="D46" s="6" t="s">
        <v>129</v>
      </c>
      <c r="E46" s="5" t="s">
        <v>25</v>
      </c>
      <c r="F46" s="7"/>
      <c r="G46" s="7"/>
      <c r="H46" s="7"/>
    </row>
    <row r="47" ht="15.75" customHeight="1">
      <c r="B47" s="8" t="s">
        <v>130</v>
      </c>
      <c r="C47" s="8" t="s">
        <v>29</v>
      </c>
      <c r="D47" s="9" t="s">
        <v>131</v>
      </c>
      <c r="E47" s="8" t="s">
        <v>31</v>
      </c>
      <c r="F47" s="10"/>
      <c r="G47" s="10"/>
      <c r="H47" s="10"/>
    </row>
    <row r="48" ht="15.75" customHeight="1">
      <c r="B48" s="5" t="s">
        <v>132</v>
      </c>
      <c r="C48" s="5" t="s">
        <v>23</v>
      </c>
      <c r="D48" s="6" t="s">
        <v>133</v>
      </c>
      <c r="E48" s="5" t="s">
        <v>34</v>
      </c>
      <c r="F48" s="7"/>
      <c r="G48" s="7"/>
      <c r="H48" s="7"/>
    </row>
    <row r="49" ht="15.75" customHeight="1">
      <c r="B49" s="8" t="s">
        <v>135</v>
      </c>
      <c r="C49" s="8" t="s">
        <v>29</v>
      </c>
      <c r="D49" s="9" t="s">
        <v>136</v>
      </c>
      <c r="E49" s="8" t="s">
        <v>27</v>
      </c>
      <c r="F49" s="10"/>
      <c r="G49" s="10"/>
      <c r="H49" s="10"/>
    </row>
    <row r="50" ht="15.75" customHeight="1">
      <c r="B50" s="5" t="s">
        <v>138</v>
      </c>
      <c r="C50" s="5" t="s">
        <v>29</v>
      </c>
      <c r="D50" s="6" t="s">
        <v>139</v>
      </c>
      <c r="E50" s="5" t="s">
        <v>25</v>
      </c>
      <c r="F50" s="7"/>
      <c r="G50" s="7"/>
      <c r="H50" s="7"/>
    </row>
    <row r="51" ht="15.75" customHeight="1">
      <c r="B51" s="8" t="s">
        <v>140</v>
      </c>
      <c r="C51" s="8" t="s">
        <v>29</v>
      </c>
      <c r="D51" s="9" t="s">
        <v>141</v>
      </c>
      <c r="E51" s="8" t="s">
        <v>31</v>
      </c>
      <c r="F51" s="10"/>
      <c r="G51" s="10"/>
      <c r="H51" s="10"/>
    </row>
    <row r="52" ht="15.75" customHeight="1">
      <c r="B52" s="5" t="s">
        <v>143</v>
      </c>
      <c r="C52" s="5" t="s">
        <v>29</v>
      </c>
      <c r="D52" s="6" t="s">
        <v>144</v>
      </c>
      <c r="E52" s="5" t="s">
        <v>34</v>
      </c>
      <c r="F52" s="7"/>
      <c r="G52" s="7"/>
      <c r="H52" s="7"/>
    </row>
    <row r="53" ht="15.75" customHeight="1">
      <c r="B53" s="8" t="s">
        <v>145</v>
      </c>
      <c r="C53" s="8" t="s">
        <v>23</v>
      </c>
      <c r="D53" s="9" t="s">
        <v>146</v>
      </c>
      <c r="E53" s="8" t="s">
        <v>27</v>
      </c>
      <c r="F53" s="10"/>
      <c r="G53" s="10"/>
      <c r="H53" s="10"/>
    </row>
    <row r="54" ht="15.75" customHeight="1">
      <c r="B54" s="5" t="s">
        <v>147</v>
      </c>
      <c r="C54" s="5" t="s">
        <v>29</v>
      </c>
      <c r="D54" s="6" t="s">
        <v>148</v>
      </c>
      <c r="E54" s="5" t="s">
        <v>25</v>
      </c>
      <c r="F54" s="7"/>
      <c r="G54" s="7"/>
      <c r="H54" s="7"/>
    </row>
    <row r="55" ht="15.75" customHeight="1">
      <c r="B55" s="8" t="s">
        <v>149</v>
      </c>
      <c r="C55" s="8" t="s">
        <v>29</v>
      </c>
      <c r="D55" s="9" t="s">
        <v>150</v>
      </c>
      <c r="E55" s="8" t="s">
        <v>31</v>
      </c>
      <c r="F55" s="10"/>
      <c r="G55" s="10"/>
      <c r="H55" s="10"/>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3" width="22.0"/>
    <col customWidth="1" min="4" max="4" width="30.0"/>
    <col customWidth="1" min="5" max="5" width="45.0"/>
    <col customWidth="1" min="6" max="6" width="22.0"/>
    <col customWidth="1" min="7" max="7" width="15.0"/>
    <col customWidth="1" min="8" max="8" width="14.0"/>
    <col customWidth="1" min="9" max="9" width="19.0"/>
    <col customWidth="1" min="10" max="11" width="22.0"/>
    <col customWidth="1" min="12" max="26" width="8.86"/>
  </cols>
  <sheetData>
    <row r="2">
      <c r="B2" s="1" t="s">
        <v>152</v>
      </c>
    </row>
    <row r="5">
      <c r="B5" s="16" t="s">
        <v>153</v>
      </c>
    </row>
    <row r="6">
      <c r="B6" s="3" t="s">
        <v>154</v>
      </c>
      <c r="C6" s="3" t="s">
        <v>155</v>
      </c>
      <c r="D6" s="3" t="s">
        <v>156</v>
      </c>
      <c r="E6" s="3" t="s">
        <v>157</v>
      </c>
      <c r="F6" s="3" t="s">
        <v>158</v>
      </c>
    </row>
    <row r="7">
      <c r="B7" s="17" t="s">
        <v>14</v>
      </c>
      <c r="C7" s="18"/>
      <c r="D7" s="18"/>
      <c r="E7" s="18"/>
      <c r="F7" s="19" t="str">
        <f t="shared" ref="F7:F8" si="1">IF(E7&gt;0.8, "Quase Perfeita", IF(E7&gt;0.6, "Substancial", IF(E7&gt;0.4, "Moderada", "Fraca")))</f>
        <v>Fraca</v>
      </c>
    </row>
    <row r="8">
      <c r="B8" s="17" t="s">
        <v>159</v>
      </c>
      <c r="C8" s="18"/>
      <c r="D8" s="18"/>
      <c r="E8" s="18"/>
      <c r="F8" s="19" t="str">
        <f t="shared" si="1"/>
        <v>Fraca</v>
      </c>
    </row>
    <row r="11">
      <c r="B11" s="16" t="s">
        <v>160</v>
      </c>
    </row>
    <row r="12">
      <c r="B12" s="2" t="s">
        <v>161</v>
      </c>
    </row>
    <row r="14">
      <c r="B14" s="3" t="s">
        <v>7</v>
      </c>
      <c r="C14" s="3" t="s">
        <v>9</v>
      </c>
      <c r="D14" s="3" t="s">
        <v>11</v>
      </c>
      <c r="E14" s="3" t="s">
        <v>10</v>
      </c>
      <c r="F14" s="3" t="s">
        <v>162</v>
      </c>
      <c r="G14" s="3" t="s">
        <v>163</v>
      </c>
      <c r="H14" s="3" t="s">
        <v>164</v>
      </c>
      <c r="I14" s="3" t="s">
        <v>165</v>
      </c>
      <c r="J14" s="3" t="s">
        <v>166</v>
      </c>
      <c r="K14" s="3" t="s">
        <v>167</v>
      </c>
    </row>
    <row r="15">
      <c r="B15" s="8" t="s">
        <v>22</v>
      </c>
      <c r="C15" s="8" t="s">
        <v>23</v>
      </c>
      <c r="D15" s="10" t="s">
        <v>26</v>
      </c>
      <c r="E15" s="9" t="s">
        <v>24</v>
      </c>
      <c r="F15" s="8" t="s">
        <v>168</v>
      </c>
      <c r="G15" s="8" t="s">
        <v>169</v>
      </c>
      <c r="H15" s="10"/>
      <c r="I15" s="10"/>
      <c r="J15" s="8" t="str">
        <f t="shared" ref="J15:K15" si="2">IF(H15="", "", IF(F15=H15, 1, 0))</f>
        <v/>
      </c>
      <c r="K15" s="8" t="str">
        <f t="shared" si="2"/>
        <v/>
      </c>
    </row>
    <row r="16">
      <c r="B16" s="5" t="s">
        <v>28</v>
      </c>
      <c r="C16" s="5" t="s">
        <v>29</v>
      </c>
      <c r="D16" s="7" t="s">
        <v>39</v>
      </c>
      <c r="E16" s="6" t="s">
        <v>30</v>
      </c>
      <c r="F16" s="5" t="s">
        <v>170</v>
      </c>
      <c r="G16" s="5" t="s">
        <v>171</v>
      </c>
      <c r="H16" s="7"/>
      <c r="I16" s="7"/>
      <c r="J16" s="5" t="str">
        <f t="shared" ref="J16:K16" si="3">IF(H16="", "", IF(F16=H16, 1, 0))</f>
        <v/>
      </c>
      <c r="K16" s="5" t="str">
        <f t="shared" si="3"/>
        <v/>
      </c>
    </row>
    <row r="17">
      <c r="B17" s="8" t="s">
        <v>32</v>
      </c>
      <c r="C17" s="8" t="s">
        <v>23</v>
      </c>
      <c r="D17" s="10" t="s">
        <v>43</v>
      </c>
      <c r="E17" s="9" t="s">
        <v>33</v>
      </c>
      <c r="F17" s="8" t="s">
        <v>170</v>
      </c>
      <c r="G17" s="8" t="s">
        <v>178</v>
      </c>
      <c r="H17" s="10"/>
      <c r="I17" s="10"/>
      <c r="J17" s="8" t="str">
        <f t="shared" ref="J17:K17" si="4">IF(H17="", "", IF(F17=H17, 1, 0))</f>
        <v/>
      </c>
      <c r="K17" s="8" t="str">
        <f t="shared" si="4"/>
        <v/>
      </c>
    </row>
    <row r="18">
      <c r="B18" s="5" t="s">
        <v>36</v>
      </c>
      <c r="C18" s="5" t="s">
        <v>29</v>
      </c>
      <c r="D18" s="7" t="s">
        <v>46</v>
      </c>
      <c r="E18" s="6" t="s">
        <v>38</v>
      </c>
      <c r="F18" s="5" t="s">
        <v>168</v>
      </c>
      <c r="G18" s="5" t="s">
        <v>178</v>
      </c>
      <c r="H18" s="7"/>
      <c r="I18" s="7"/>
      <c r="J18" s="5" t="str">
        <f t="shared" ref="J18:K18" si="5">IF(H18="", "", IF(F18=H18, 1, 0))</f>
        <v/>
      </c>
      <c r="K18" s="5" t="str">
        <f t="shared" si="5"/>
        <v/>
      </c>
    </row>
    <row r="19">
      <c r="B19" s="8" t="s">
        <v>40</v>
      </c>
      <c r="C19" s="8" t="s">
        <v>29</v>
      </c>
      <c r="D19" s="10" t="s">
        <v>39</v>
      </c>
      <c r="E19" s="9" t="s">
        <v>41</v>
      </c>
      <c r="F19" s="8" t="s">
        <v>179</v>
      </c>
      <c r="G19" s="8" t="s">
        <v>169</v>
      </c>
      <c r="H19" s="10"/>
      <c r="I19" s="10"/>
      <c r="J19" s="8" t="str">
        <f t="shared" ref="J19:K19" si="6">IF(H19="", "", IF(F19=H19, 1, 0))</f>
        <v/>
      </c>
      <c r="K19" s="8" t="str">
        <f t="shared" si="6"/>
        <v/>
      </c>
    </row>
    <row r="20">
      <c r="B20" s="5" t="s">
        <v>42</v>
      </c>
      <c r="C20" s="5" t="s">
        <v>23</v>
      </c>
      <c r="D20" s="7" t="s">
        <v>56</v>
      </c>
      <c r="E20" s="6" t="s">
        <v>44</v>
      </c>
      <c r="F20" s="5" t="s">
        <v>170</v>
      </c>
      <c r="G20" s="5" t="s">
        <v>169</v>
      </c>
      <c r="H20" s="7"/>
      <c r="I20" s="7"/>
      <c r="J20" s="5" t="str">
        <f t="shared" ref="J20:K20" si="7">IF(H20="", "", IF(F20=H20, 1, 0))</f>
        <v/>
      </c>
      <c r="K20" s="5" t="str">
        <f t="shared" si="7"/>
        <v/>
      </c>
    </row>
    <row r="21" ht="15.75" customHeight="1">
      <c r="B21" s="8" t="s">
        <v>45</v>
      </c>
      <c r="C21" s="8" t="s">
        <v>23</v>
      </c>
      <c r="D21" s="10" t="s">
        <v>59</v>
      </c>
      <c r="E21" s="9" t="s">
        <v>47</v>
      </c>
      <c r="F21" s="8" t="s">
        <v>168</v>
      </c>
      <c r="G21" s="8" t="s">
        <v>169</v>
      </c>
      <c r="H21" s="10"/>
      <c r="I21" s="10"/>
      <c r="J21" s="8" t="str">
        <f t="shared" ref="J21:K21" si="8">IF(H21="", "", IF(F21=H21, 1, 0))</f>
        <v/>
      </c>
      <c r="K21" s="8" t="str">
        <f t="shared" si="8"/>
        <v/>
      </c>
    </row>
    <row r="22" ht="15.75" customHeight="1">
      <c r="B22" s="5" t="s">
        <v>48</v>
      </c>
      <c r="C22" s="5" t="s">
        <v>29</v>
      </c>
      <c r="D22" s="7" t="s">
        <v>62</v>
      </c>
      <c r="E22" s="6" t="s">
        <v>49</v>
      </c>
      <c r="F22" s="5" t="s">
        <v>179</v>
      </c>
      <c r="G22" s="5" t="s">
        <v>169</v>
      </c>
      <c r="H22" s="7"/>
      <c r="I22" s="7"/>
      <c r="J22" s="5" t="str">
        <f t="shared" ref="J22:K22" si="9">IF(H22="", "", IF(F22=H22, 1, 0))</f>
        <v/>
      </c>
      <c r="K22" s="5" t="str">
        <f t="shared" si="9"/>
        <v/>
      </c>
    </row>
    <row r="23" ht="15.75" customHeight="1">
      <c r="B23" s="8" t="s">
        <v>50</v>
      </c>
      <c r="C23" s="8" t="s">
        <v>29</v>
      </c>
      <c r="D23" s="10" t="s">
        <v>66</v>
      </c>
      <c r="E23" s="9" t="s">
        <v>51</v>
      </c>
      <c r="F23" s="8" t="s">
        <v>170</v>
      </c>
      <c r="G23" s="8" t="s">
        <v>171</v>
      </c>
      <c r="H23" s="10"/>
      <c r="I23" s="10"/>
      <c r="J23" s="8" t="str">
        <f t="shared" ref="J23:K23" si="10">IF(H23="", "", IF(F23=H23, 1, 0))</f>
        <v/>
      </c>
      <c r="K23" s="8" t="str">
        <f t="shared" si="10"/>
        <v/>
      </c>
    </row>
    <row r="24" ht="15.75" customHeight="1">
      <c r="B24" s="5" t="s">
        <v>52</v>
      </c>
      <c r="C24" s="5" t="s">
        <v>29</v>
      </c>
      <c r="D24" s="7" t="s">
        <v>73</v>
      </c>
      <c r="E24" s="6" t="s">
        <v>53</v>
      </c>
      <c r="F24" s="5" t="s">
        <v>168</v>
      </c>
      <c r="G24" s="5" t="s">
        <v>169</v>
      </c>
      <c r="H24" s="7"/>
      <c r="I24" s="7"/>
      <c r="J24" s="5" t="str">
        <f t="shared" ref="J24:K24" si="11">IF(H24="", "", IF(F24=H24, 1, 0))</f>
        <v/>
      </c>
      <c r="K24" s="5" t="str">
        <f t="shared" si="11"/>
        <v/>
      </c>
    </row>
    <row r="25" ht="15.75" customHeight="1">
      <c r="B25" s="8" t="s">
        <v>54</v>
      </c>
      <c r="C25" s="8" t="s">
        <v>29</v>
      </c>
      <c r="D25" s="10" t="s">
        <v>76</v>
      </c>
      <c r="E25" s="9" t="s">
        <v>55</v>
      </c>
      <c r="F25" s="8" t="s">
        <v>168</v>
      </c>
      <c r="G25" s="8" t="s">
        <v>178</v>
      </c>
      <c r="H25" s="10"/>
      <c r="I25" s="10"/>
      <c r="J25" s="8" t="str">
        <f t="shared" ref="J25:K25" si="12">IF(H25="", "", IF(F25=H25, 1, 0))</f>
        <v/>
      </c>
      <c r="K25" s="8" t="str">
        <f t="shared" si="12"/>
        <v/>
      </c>
    </row>
    <row r="26" ht="15.75" customHeight="1">
      <c r="B26" s="5" t="s">
        <v>57</v>
      </c>
      <c r="C26" s="5" t="s">
        <v>29</v>
      </c>
      <c r="D26" s="7" t="s">
        <v>79</v>
      </c>
      <c r="E26" s="6" t="s">
        <v>58</v>
      </c>
      <c r="F26" s="5" t="s">
        <v>179</v>
      </c>
      <c r="G26" s="5" t="s">
        <v>169</v>
      </c>
      <c r="H26" s="7"/>
      <c r="I26" s="7"/>
      <c r="J26" s="5" t="str">
        <f t="shared" ref="J26:K26" si="13">IF(H26="", "", IF(F26=H26, 1, 0))</f>
        <v/>
      </c>
      <c r="K26" s="5" t="str">
        <f t="shared" si="13"/>
        <v/>
      </c>
    </row>
    <row r="27" ht="15.75" customHeight="1">
      <c r="B27" s="8" t="s">
        <v>60</v>
      </c>
      <c r="C27" s="8" t="s">
        <v>23</v>
      </c>
      <c r="D27" s="10" t="s">
        <v>83</v>
      </c>
      <c r="E27" s="9" t="s">
        <v>61</v>
      </c>
      <c r="F27" s="8" t="s">
        <v>168</v>
      </c>
      <c r="G27" s="8" t="s">
        <v>169</v>
      </c>
      <c r="H27" s="10"/>
      <c r="I27" s="10"/>
      <c r="J27" s="8" t="str">
        <f t="shared" ref="J27:K27" si="14">IF(H27="", "", IF(F27=H27, 1, 0))</f>
        <v/>
      </c>
      <c r="K27" s="8" t="str">
        <f t="shared" si="14"/>
        <v/>
      </c>
    </row>
    <row r="28" ht="15.75" customHeight="1">
      <c r="B28" s="5" t="s">
        <v>63</v>
      </c>
      <c r="C28" s="5" t="s">
        <v>23</v>
      </c>
      <c r="D28" s="7" t="s">
        <v>90</v>
      </c>
      <c r="E28" s="6" t="s">
        <v>64</v>
      </c>
      <c r="F28" s="5" t="s">
        <v>170</v>
      </c>
      <c r="G28" s="5" t="s">
        <v>178</v>
      </c>
      <c r="H28" s="7"/>
      <c r="I28" s="7"/>
      <c r="J28" s="5" t="str">
        <f t="shared" ref="J28:K28" si="15">IF(H28="", "", IF(F28=H28, 1, 0))</f>
        <v/>
      </c>
      <c r="K28" s="5" t="str">
        <f t="shared" si="15"/>
        <v/>
      </c>
    </row>
    <row r="29" ht="15.75" customHeight="1">
      <c r="B29" s="8" t="s">
        <v>65</v>
      </c>
      <c r="C29" s="8" t="s">
        <v>29</v>
      </c>
      <c r="D29" s="10" t="s">
        <v>76</v>
      </c>
      <c r="E29" s="9" t="s">
        <v>67</v>
      </c>
      <c r="F29" s="8" t="s">
        <v>170</v>
      </c>
      <c r="G29" s="8" t="s">
        <v>169</v>
      </c>
      <c r="H29" s="10"/>
      <c r="I29" s="10"/>
      <c r="J29" s="8" t="str">
        <f t="shared" ref="J29:K29" si="16">IF(H29="", "", IF(F29=H29, 1, 0))</f>
        <v/>
      </c>
      <c r="K29" s="8" t="str">
        <f t="shared" si="16"/>
        <v/>
      </c>
    </row>
    <row r="30" ht="15.75" customHeight="1">
      <c r="B30" s="5" t="s">
        <v>68</v>
      </c>
      <c r="C30" s="5" t="s">
        <v>29</v>
      </c>
      <c r="D30" s="7" t="s">
        <v>66</v>
      </c>
      <c r="E30" s="6" t="s">
        <v>69</v>
      </c>
      <c r="F30" s="5" t="s">
        <v>168</v>
      </c>
      <c r="G30" s="5" t="s">
        <v>178</v>
      </c>
      <c r="H30" s="7"/>
      <c r="I30" s="7"/>
      <c r="J30" s="5" t="str">
        <f t="shared" ref="J30:K30" si="17">IF(H30="", "", IF(F30=H30, 1, 0))</f>
        <v/>
      </c>
      <c r="K30" s="5" t="str">
        <f t="shared" si="17"/>
        <v/>
      </c>
    </row>
    <row r="31" ht="15.75" customHeight="1">
      <c r="B31" s="8" t="s">
        <v>70</v>
      </c>
      <c r="C31" s="8" t="s">
        <v>29</v>
      </c>
      <c r="D31" s="10" t="s">
        <v>79</v>
      </c>
      <c r="E31" s="9" t="s">
        <v>71</v>
      </c>
      <c r="F31" s="8" t="s">
        <v>168</v>
      </c>
      <c r="G31" s="8" t="s">
        <v>169</v>
      </c>
      <c r="H31" s="10"/>
      <c r="I31" s="10"/>
      <c r="J31" s="8" t="str">
        <f t="shared" ref="J31:K31" si="18">IF(H31="", "", IF(F31=H31, 1, 0))</f>
        <v/>
      </c>
      <c r="K31" s="8" t="str">
        <f t="shared" si="18"/>
        <v/>
      </c>
    </row>
    <row r="32" ht="15.75" customHeight="1">
      <c r="B32" s="5" t="s">
        <v>72</v>
      </c>
      <c r="C32" s="5" t="s">
        <v>29</v>
      </c>
      <c r="D32" s="7" t="s">
        <v>105</v>
      </c>
      <c r="E32" s="6" t="s">
        <v>74</v>
      </c>
      <c r="F32" s="5" t="s">
        <v>168</v>
      </c>
      <c r="G32" s="5" t="s">
        <v>169</v>
      </c>
      <c r="H32" s="7"/>
      <c r="I32" s="7"/>
      <c r="J32" s="5" t="str">
        <f t="shared" ref="J32:K32" si="19">IF(H32="", "", IF(F32=H32, 1, 0))</f>
        <v/>
      </c>
      <c r="K32" s="5" t="str">
        <f t="shared" si="19"/>
        <v/>
      </c>
    </row>
    <row r="33" ht="15.75" customHeight="1">
      <c r="B33" s="8" t="s">
        <v>75</v>
      </c>
      <c r="C33" s="8" t="s">
        <v>29</v>
      </c>
      <c r="D33" s="10" t="s">
        <v>108</v>
      </c>
      <c r="E33" s="9" t="s">
        <v>77</v>
      </c>
      <c r="F33" s="8" t="s">
        <v>168</v>
      </c>
      <c r="G33" s="8" t="s">
        <v>169</v>
      </c>
      <c r="H33" s="10"/>
      <c r="I33" s="10"/>
      <c r="J33" s="8" t="str">
        <f t="shared" ref="J33:K33" si="20">IF(H33="", "", IF(F33=H33, 1, 0))</f>
        <v/>
      </c>
      <c r="K33" s="8" t="str">
        <f t="shared" si="20"/>
        <v/>
      </c>
    </row>
    <row r="34" ht="15.75" customHeight="1">
      <c r="B34" s="5" t="s">
        <v>78</v>
      </c>
      <c r="C34" s="5" t="s">
        <v>23</v>
      </c>
      <c r="D34" s="7" t="s">
        <v>83</v>
      </c>
      <c r="E34" s="6" t="s">
        <v>80</v>
      </c>
      <c r="F34" s="5" t="s">
        <v>170</v>
      </c>
      <c r="G34" s="5" t="s">
        <v>178</v>
      </c>
      <c r="H34" s="7"/>
      <c r="I34" s="7"/>
      <c r="J34" s="5" t="str">
        <f t="shared" ref="J34:K34" si="21">IF(H34="", "", IF(F34=H34, 1, 0))</f>
        <v/>
      </c>
      <c r="K34" s="5" t="str">
        <f t="shared" si="21"/>
        <v/>
      </c>
    </row>
    <row r="35" ht="15.75" customHeight="1">
      <c r="B35" s="8" t="s">
        <v>81</v>
      </c>
      <c r="C35" s="8" t="s">
        <v>23</v>
      </c>
      <c r="D35" s="10" t="s">
        <v>113</v>
      </c>
      <c r="E35" s="9" t="s">
        <v>82</v>
      </c>
      <c r="F35" s="8" t="s">
        <v>168</v>
      </c>
      <c r="G35" s="8" t="s">
        <v>169</v>
      </c>
      <c r="H35" s="10"/>
      <c r="I35" s="10"/>
      <c r="J35" s="8" t="str">
        <f t="shared" ref="J35:K35" si="22">IF(H35="", "", IF(F35=H35, 1, 0))</f>
        <v/>
      </c>
      <c r="K35" s="8" t="str">
        <f t="shared" si="22"/>
        <v/>
      </c>
    </row>
    <row r="36" ht="15.75" customHeight="1">
      <c r="B36" s="5" t="s">
        <v>84</v>
      </c>
      <c r="C36" s="5" t="s">
        <v>29</v>
      </c>
      <c r="D36" s="7" t="s">
        <v>119</v>
      </c>
      <c r="E36" s="6" t="s">
        <v>85</v>
      </c>
      <c r="F36" s="5" t="s">
        <v>179</v>
      </c>
      <c r="G36" s="5" t="s">
        <v>169</v>
      </c>
      <c r="H36" s="7"/>
      <c r="I36" s="7"/>
      <c r="J36" s="5" t="str">
        <f t="shared" ref="J36:K36" si="23">IF(H36="", "", IF(F36=H36, 1, 0))</f>
        <v/>
      </c>
      <c r="K36" s="5" t="str">
        <f t="shared" si="23"/>
        <v/>
      </c>
    </row>
    <row r="37" ht="15.75" customHeight="1">
      <c r="B37" s="8" t="s">
        <v>86</v>
      </c>
      <c r="C37" s="8" t="s">
        <v>29</v>
      </c>
      <c r="D37" s="10" t="s">
        <v>73</v>
      </c>
      <c r="E37" s="9" t="s">
        <v>87</v>
      </c>
      <c r="F37" s="8" t="s">
        <v>168</v>
      </c>
      <c r="G37" s="8" t="s">
        <v>169</v>
      </c>
      <c r="H37" s="10"/>
      <c r="I37" s="10"/>
      <c r="J37" s="8" t="str">
        <f t="shared" ref="J37:K37" si="24">IF(H37="", "", IF(F37=H37, 1, 0))</f>
        <v/>
      </c>
      <c r="K37" s="8" t="str">
        <f t="shared" si="24"/>
        <v/>
      </c>
    </row>
    <row r="38" ht="15.75" customHeight="1">
      <c r="B38" s="5" t="s">
        <v>88</v>
      </c>
      <c r="C38" s="5" t="s">
        <v>29</v>
      </c>
      <c r="D38" s="7" t="s">
        <v>125</v>
      </c>
      <c r="E38" s="6" t="s">
        <v>89</v>
      </c>
      <c r="F38" s="5" t="s">
        <v>179</v>
      </c>
      <c r="G38" s="5" t="s">
        <v>178</v>
      </c>
      <c r="H38" s="7"/>
      <c r="I38" s="7"/>
      <c r="J38" s="5" t="str">
        <f t="shared" ref="J38:K38" si="25">IF(H38="", "", IF(F38=H38, 1, 0))</f>
        <v/>
      </c>
      <c r="K38" s="5" t="str">
        <f t="shared" si="25"/>
        <v/>
      </c>
    </row>
    <row r="39" ht="15.75" customHeight="1">
      <c r="B39" s="8" t="s">
        <v>91</v>
      </c>
      <c r="C39" s="8" t="s">
        <v>23</v>
      </c>
      <c r="D39" s="10" t="s">
        <v>26</v>
      </c>
      <c r="E39" s="9" t="s">
        <v>92</v>
      </c>
      <c r="F39" s="8" t="s">
        <v>170</v>
      </c>
      <c r="G39" s="8" t="s">
        <v>169</v>
      </c>
      <c r="H39" s="10"/>
      <c r="I39" s="10"/>
      <c r="J39" s="8" t="str">
        <f t="shared" ref="J39:K39" si="26">IF(H39="", "", IF(F39=H39, 1, 0))</f>
        <v/>
      </c>
      <c r="K39" s="8" t="str">
        <f t="shared" si="26"/>
        <v/>
      </c>
    </row>
    <row r="40" ht="15.75" customHeight="1">
      <c r="B40" s="5" t="s">
        <v>93</v>
      </c>
      <c r="C40" s="5" t="s">
        <v>23</v>
      </c>
      <c r="D40" s="7" t="s">
        <v>134</v>
      </c>
      <c r="E40" s="6" t="s">
        <v>94</v>
      </c>
      <c r="F40" s="5" t="s">
        <v>170</v>
      </c>
      <c r="G40" s="5" t="s">
        <v>169</v>
      </c>
      <c r="H40" s="7"/>
      <c r="I40" s="7"/>
      <c r="J40" s="5" t="str">
        <f t="shared" ref="J40:K40" si="27">IF(H40="", "", IF(F40=H40, 1, 0))</f>
        <v/>
      </c>
      <c r="K40" s="5" t="str">
        <f t="shared" si="27"/>
        <v/>
      </c>
    </row>
    <row r="41" ht="15.75" customHeight="1">
      <c r="B41" s="8" t="s">
        <v>95</v>
      </c>
      <c r="C41" s="8" t="s">
        <v>29</v>
      </c>
      <c r="D41" s="10" t="s">
        <v>137</v>
      </c>
      <c r="E41" s="9" t="s">
        <v>96</v>
      </c>
      <c r="F41" s="8" t="s">
        <v>170</v>
      </c>
      <c r="G41" s="8" t="s">
        <v>169</v>
      </c>
      <c r="H41" s="10"/>
      <c r="I41" s="10"/>
      <c r="J41" s="8" t="str">
        <f t="shared" ref="J41:K41" si="28">IF(H41="", "", IF(F41=H41, 1, 0))</f>
        <v/>
      </c>
      <c r="K41" s="8" t="str">
        <f t="shared" si="28"/>
        <v/>
      </c>
    </row>
    <row r="42" ht="15.75" customHeight="1">
      <c r="B42" s="5" t="s">
        <v>97</v>
      </c>
      <c r="C42" s="5" t="s">
        <v>23</v>
      </c>
      <c r="D42" s="7" t="s">
        <v>142</v>
      </c>
      <c r="E42" s="6" t="s">
        <v>98</v>
      </c>
      <c r="F42" s="5" t="s">
        <v>170</v>
      </c>
      <c r="G42" s="5" t="s">
        <v>169</v>
      </c>
      <c r="H42" s="7"/>
      <c r="I42" s="7"/>
      <c r="J42" s="5" t="str">
        <f t="shared" ref="J42:K42" si="29">IF(H42="", "", IF(F42=H42, 1, 0))</f>
        <v/>
      </c>
      <c r="K42" s="5" t="str">
        <f t="shared" si="29"/>
        <v/>
      </c>
    </row>
    <row r="43" ht="15.75" customHeight="1">
      <c r="B43" s="8" t="s">
        <v>99</v>
      </c>
      <c r="C43" s="8" t="s">
        <v>29</v>
      </c>
      <c r="D43" s="10" t="s">
        <v>119</v>
      </c>
      <c r="E43" s="9" t="s">
        <v>100</v>
      </c>
      <c r="F43" s="8" t="s">
        <v>179</v>
      </c>
      <c r="G43" s="8" t="s">
        <v>169</v>
      </c>
      <c r="H43" s="10"/>
      <c r="I43" s="10"/>
      <c r="J43" s="8" t="str">
        <f t="shared" ref="J43:K43" si="30">IF(H43="", "", IF(F43=H43, 1, 0))</f>
        <v/>
      </c>
      <c r="K43" s="8" t="str">
        <f t="shared" si="30"/>
        <v/>
      </c>
    </row>
    <row r="44" ht="15.75" customHeight="1">
      <c r="B44" s="5" t="s">
        <v>101</v>
      </c>
      <c r="C44" s="5" t="s">
        <v>23</v>
      </c>
      <c r="D44" s="7" t="s">
        <v>151</v>
      </c>
      <c r="E44" s="6" t="s">
        <v>102</v>
      </c>
      <c r="F44" s="5" t="s">
        <v>179</v>
      </c>
      <c r="G44" s="5" t="s">
        <v>169</v>
      </c>
      <c r="H44" s="7"/>
      <c r="I44" s="7"/>
      <c r="J44" s="5" t="str">
        <f t="shared" ref="J44:K44" si="31">IF(H44="", "", IF(F44=H44, 1, 0))</f>
        <v/>
      </c>
      <c r="K44" s="5" t="str">
        <f t="shared" si="31"/>
        <v/>
      </c>
    </row>
    <row r="45" ht="15.75" customHeight="1">
      <c r="B45" s="8" t="s">
        <v>103</v>
      </c>
      <c r="C45" s="8" t="s">
        <v>23</v>
      </c>
      <c r="D45" s="10" t="s">
        <v>59</v>
      </c>
      <c r="E45" s="9" t="s">
        <v>104</v>
      </c>
      <c r="F45" s="8" t="s">
        <v>170</v>
      </c>
      <c r="G45" s="8" t="s">
        <v>169</v>
      </c>
      <c r="H45" s="10"/>
      <c r="I45" s="10"/>
      <c r="J45" s="8" t="str">
        <f t="shared" ref="J45:K45" si="32">IF(H45="", "", IF(F45=H45, 1, 0))</f>
        <v/>
      </c>
      <c r="K45" s="8" t="str">
        <f t="shared" si="32"/>
        <v/>
      </c>
    </row>
    <row r="46" ht="15.75" customHeight="1">
      <c r="B46" s="5" t="s">
        <v>106</v>
      </c>
      <c r="C46" s="5" t="s">
        <v>23</v>
      </c>
      <c r="D46" s="7" t="s">
        <v>151</v>
      </c>
      <c r="E46" s="6" t="s">
        <v>107</v>
      </c>
      <c r="F46" s="5" t="s">
        <v>170</v>
      </c>
      <c r="G46" s="5" t="s">
        <v>169</v>
      </c>
      <c r="H46" s="7"/>
      <c r="I46" s="7"/>
      <c r="J46" s="5" t="str">
        <f t="shared" ref="J46:K46" si="33">IF(H46="", "", IF(F46=H46, 1, 0))</f>
        <v/>
      </c>
      <c r="K46" s="5" t="str">
        <f t="shared" si="33"/>
        <v/>
      </c>
    </row>
    <row r="47" ht="15.75" customHeight="1">
      <c r="B47" s="8" t="s">
        <v>109</v>
      </c>
      <c r="C47" s="8" t="s">
        <v>29</v>
      </c>
      <c r="D47" s="10" t="s">
        <v>199</v>
      </c>
      <c r="E47" s="9" t="s">
        <v>110</v>
      </c>
      <c r="F47" s="8" t="s">
        <v>168</v>
      </c>
      <c r="G47" s="8" t="s">
        <v>169</v>
      </c>
      <c r="H47" s="10"/>
      <c r="I47" s="10"/>
      <c r="J47" s="8" t="str">
        <f t="shared" ref="J47:K47" si="34">IF(H47="", "", IF(F47=H47, 1, 0))</f>
        <v/>
      </c>
      <c r="K47" s="8" t="str">
        <f t="shared" si="34"/>
        <v/>
      </c>
    </row>
    <row r="48" ht="15.75" customHeight="1">
      <c r="B48" s="5" t="s">
        <v>111</v>
      </c>
      <c r="C48" s="5" t="s">
        <v>23</v>
      </c>
      <c r="D48" s="7" t="s">
        <v>200</v>
      </c>
      <c r="E48" s="6" t="s">
        <v>112</v>
      </c>
      <c r="F48" s="5" t="s">
        <v>168</v>
      </c>
      <c r="G48" s="5" t="s">
        <v>169</v>
      </c>
      <c r="H48" s="7"/>
      <c r="I48" s="7"/>
      <c r="J48" s="5" t="str">
        <f t="shared" ref="J48:K48" si="35">IF(H48="", "", IF(F48=H48, 1, 0))</f>
        <v/>
      </c>
      <c r="K48" s="5" t="str">
        <f t="shared" si="35"/>
        <v/>
      </c>
    </row>
    <row r="49" ht="15.75" customHeight="1">
      <c r="B49" s="8" t="s">
        <v>114</v>
      </c>
      <c r="C49" s="8" t="s">
        <v>23</v>
      </c>
      <c r="D49" s="10" t="s">
        <v>90</v>
      </c>
      <c r="E49" s="9" t="s">
        <v>115</v>
      </c>
      <c r="F49" s="8" t="s">
        <v>170</v>
      </c>
      <c r="G49" s="8" t="s">
        <v>178</v>
      </c>
      <c r="H49" s="10"/>
      <c r="I49" s="10"/>
      <c r="J49" s="8" t="str">
        <f t="shared" ref="J49:K49" si="36">IF(H49="", "", IF(F49=H49, 1, 0))</f>
        <v/>
      </c>
      <c r="K49" s="8" t="str">
        <f t="shared" si="36"/>
        <v/>
      </c>
    </row>
    <row r="50" ht="15.75" customHeight="1">
      <c r="B50" s="5" t="s">
        <v>116</v>
      </c>
      <c r="C50" s="5" t="s">
        <v>23</v>
      </c>
      <c r="D50" s="7" t="s">
        <v>201</v>
      </c>
      <c r="E50" s="6" t="s">
        <v>117</v>
      </c>
      <c r="F50" s="5" t="s">
        <v>170</v>
      </c>
      <c r="G50" s="5" t="s">
        <v>169</v>
      </c>
      <c r="H50" s="7"/>
      <c r="I50" s="7"/>
      <c r="J50" s="5" t="str">
        <f t="shared" ref="J50:K50" si="37">IF(H50="", "", IF(F50=H50, 1, 0))</f>
        <v/>
      </c>
      <c r="K50" s="5" t="str">
        <f t="shared" si="37"/>
        <v/>
      </c>
    </row>
    <row r="51" ht="15.75" customHeight="1">
      <c r="B51" s="8" t="s">
        <v>118</v>
      </c>
      <c r="C51" s="8" t="s">
        <v>29</v>
      </c>
      <c r="D51" s="10" t="s">
        <v>202</v>
      </c>
      <c r="E51" s="9" t="s">
        <v>120</v>
      </c>
      <c r="F51" s="8" t="s">
        <v>168</v>
      </c>
      <c r="G51" s="8" t="s">
        <v>178</v>
      </c>
      <c r="H51" s="10"/>
      <c r="I51" s="10"/>
      <c r="J51" s="8" t="str">
        <f t="shared" ref="J51:K51" si="38">IF(H51="", "", IF(F51=H51, 1, 0))</f>
        <v/>
      </c>
      <c r="K51" s="8" t="str">
        <f t="shared" si="38"/>
        <v/>
      </c>
    </row>
    <row r="52" ht="15.75" customHeight="1">
      <c r="B52" s="5" t="s">
        <v>121</v>
      </c>
      <c r="C52" s="5" t="s">
        <v>29</v>
      </c>
      <c r="D52" s="7" t="s">
        <v>119</v>
      </c>
      <c r="E52" s="6" t="s">
        <v>122</v>
      </c>
      <c r="F52" s="5" t="s">
        <v>179</v>
      </c>
      <c r="G52" s="5" t="s">
        <v>169</v>
      </c>
      <c r="H52" s="7"/>
      <c r="I52" s="7"/>
      <c r="J52" s="5" t="str">
        <f t="shared" ref="J52:K52" si="39">IF(H52="", "", IF(F52=H52, 1, 0))</f>
        <v/>
      </c>
      <c r="K52" s="5" t="str">
        <f t="shared" si="39"/>
        <v/>
      </c>
    </row>
    <row r="53" ht="15.75" customHeight="1">
      <c r="B53" s="8" t="s">
        <v>123</v>
      </c>
      <c r="C53" s="8" t="s">
        <v>29</v>
      </c>
      <c r="D53" s="10" t="s">
        <v>73</v>
      </c>
      <c r="E53" s="9" t="s">
        <v>124</v>
      </c>
      <c r="F53" s="8" t="s">
        <v>179</v>
      </c>
      <c r="G53" s="8" t="s">
        <v>169</v>
      </c>
      <c r="H53" s="10"/>
      <c r="I53" s="10"/>
      <c r="J53" s="8" t="str">
        <f t="shared" ref="J53:K53" si="40">IF(H53="", "", IF(F53=H53, 1, 0))</f>
        <v/>
      </c>
      <c r="K53" s="8" t="str">
        <f t="shared" si="40"/>
        <v/>
      </c>
    </row>
    <row r="54" ht="15.75" customHeight="1">
      <c r="B54" s="5" t="s">
        <v>126</v>
      </c>
      <c r="C54" s="5" t="s">
        <v>29</v>
      </c>
      <c r="D54" s="7" t="s">
        <v>203</v>
      </c>
      <c r="E54" s="6" t="s">
        <v>127</v>
      </c>
      <c r="F54" s="5" t="s">
        <v>170</v>
      </c>
      <c r="G54" s="5" t="s">
        <v>178</v>
      </c>
      <c r="H54" s="7"/>
      <c r="I54" s="7"/>
      <c r="J54" s="5" t="str">
        <f t="shared" ref="J54:K54" si="41">IF(H54="", "", IF(F54=H54, 1, 0))</f>
        <v/>
      </c>
      <c r="K54" s="5" t="str">
        <f t="shared" si="41"/>
        <v/>
      </c>
    </row>
    <row r="55" ht="15.75" customHeight="1">
      <c r="B55" s="8" t="s">
        <v>128</v>
      </c>
      <c r="C55" s="8" t="s">
        <v>29</v>
      </c>
      <c r="D55" s="10" t="s">
        <v>39</v>
      </c>
      <c r="E55" s="9" t="s">
        <v>129</v>
      </c>
      <c r="F55" s="8" t="s">
        <v>170</v>
      </c>
      <c r="G55" s="8" t="s">
        <v>178</v>
      </c>
      <c r="H55" s="10"/>
      <c r="I55" s="10"/>
      <c r="J55" s="8" t="str">
        <f t="shared" ref="J55:K55" si="42">IF(H55="", "", IF(F55=H55, 1, 0))</f>
        <v/>
      </c>
      <c r="K55" s="8" t="str">
        <f t="shared" si="42"/>
        <v/>
      </c>
    </row>
    <row r="56" ht="15.75" customHeight="1">
      <c r="B56" s="5" t="s">
        <v>130</v>
      </c>
      <c r="C56" s="5" t="s">
        <v>29</v>
      </c>
      <c r="D56" s="7" t="s">
        <v>203</v>
      </c>
      <c r="E56" s="6" t="s">
        <v>131</v>
      </c>
      <c r="F56" s="5" t="s">
        <v>170</v>
      </c>
      <c r="G56" s="5" t="s">
        <v>178</v>
      </c>
      <c r="H56" s="7"/>
      <c r="I56" s="7"/>
      <c r="J56" s="5" t="str">
        <f t="shared" ref="J56:K56" si="43">IF(H56="", "", IF(F56=H56, 1, 0))</f>
        <v/>
      </c>
      <c r="K56" s="5" t="str">
        <f t="shared" si="43"/>
        <v/>
      </c>
    </row>
    <row r="57" ht="15.75" customHeight="1">
      <c r="B57" s="8" t="s">
        <v>132</v>
      </c>
      <c r="C57" s="8" t="s">
        <v>23</v>
      </c>
      <c r="D57" s="10" t="s">
        <v>59</v>
      </c>
      <c r="E57" s="9" t="s">
        <v>133</v>
      </c>
      <c r="F57" s="8" t="s">
        <v>170</v>
      </c>
      <c r="G57" s="8" t="s">
        <v>169</v>
      </c>
      <c r="H57" s="10"/>
      <c r="I57" s="10"/>
      <c r="J57" s="8" t="str">
        <f t="shared" ref="J57:K57" si="44">IF(H57="", "", IF(F57=H57, 1, 0))</f>
        <v/>
      </c>
      <c r="K57" s="8" t="str">
        <f t="shared" si="44"/>
        <v/>
      </c>
    </row>
    <row r="58" ht="15.75" customHeight="1">
      <c r="B58" s="5" t="s">
        <v>135</v>
      </c>
      <c r="C58" s="5" t="s">
        <v>29</v>
      </c>
      <c r="D58" s="7" t="s">
        <v>137</v>
      </c>
      <c r="E58" s="6" t="s">
        <v>136</v>
      </c>
      <c r="F58" s="5" t="s">
        <v>179</v>
      </c>
      <c r="G58" s="5" t="s">
        <v>178</v>
      </c>
      <c r="H58" s="7"/>
      <c r="I58" s="7"/>
      <c r="J58" s="5" t="str">
        <f t="shared" ref="J58:K58" si="45">IF(H58="", "", IF(F58=H58, 1, 0))</f>
        <v/>
      </c>
      <c r="K58" s="5" t="str">
        <f t="shared" si="45"/>
        <v/>
      </c>
    </row>
    <row r="59" ht="15.75" customHeight="1">
      <c r="B59" s="8" t="s">
        <v>138</v>
      </c>
      <c r="C59" s="8" t="s">
        <v>29</v>
      </c>
      <c r="D59" s="10" t="s">
        <v>76</v>
      </c>
      <c r="E59" s="9" t="s">
        <v>139</v>
      </c>
      <c r="F59" s="8" t="s">
        <v>170</v>
      </c>
      <c r="G59" s="8" t="s">
        <v>169</v>
      </c>
      <c r="H59" s="10"/>
      <c r="I59" s="10"/>
      <c r="J59" s="8" t="str">
        <f t="shared" ref="J59:K59" si="46">IF(H59="", "", IF(F59=H59, 1, 0))</f>
        <v/>
      </c>
      <c r="K59" s="8" t="str">
        <f t="shared" si="46"/>
        <v/>
      </c>
    </row>
    <row r="60" ht="15.75" customHeight="1">
      <c r="B60" s="5" t="s">
        <v>140</v>
      </c>
      <c r="C60" s="5" t="s">
        <v>29</v>
      </c>
      <c r="D60" s="7" t="s">
        <v>66</v>
      </c>
      <c r="E60" s="6" t="s">
        <v>141</v>
      </c>
      <c r="F60" s="5" t="s">
        <v>170</v>
      </c>
      <c r="G60" s="5" t="s">
        <v>169</v>
      </c>
      <c r="H60" s="7"/>
      <c r="I60" s="7"/>
      <c r="J60" s="5" t="str">
        <f t="shared" ref="J60:K60" si="47">IF(H60="", "", IF(F60=H60, 1, 0))</f>
        <v/>
      </c>
      <c r="K60" s="5" t="str">
        <f t="shared" si="47"/>
        <v/>
      </c>
    </row>
    <row r="61" ht="15.75" customHeight="1">
      <c r="B61" s="8" t="s">
        <v>143</v>
      </c>
      <c r="C61" s="8" t="s">
        <v>29</v>
      </c>
      <c r="D61" s="10" t="s">
        <v>203</v>
      </c>
      <c r="E61" s="9" t="s">
        <v>144</v>
      </c>
      <c r="F61" s="8" t="s">
        <v>170</v>
      </c>
      <c r="G61" s="8" t="s">
        <v>169</v>
      </c>
      <c r="H61" s="10"/>
      <c r="I61" s="10"/>
      <c r="J61" s="8" t="str">
        <f t="shared" ref="J61:K61" si="48">IF(H61="", "", IF(F61=H61, 1, 0))</f>
        <v/>
      </c>
      <c r="K61" s="8" t="str">
        <f t="shared" si="48"/>
        <v/>
      </c>
    </row>
    <row r="62" ht="15.75" customHeight="1">
      <c r="B62" s="5" t="s">
        <v>145</v>
      </c>
      <c r="C62" s="5" t="s">
        <v>23</v>
      </c>
      <c r="D62" s="7" t="s">
        <v>204</v>
      </c>
      <c r="E62" s="6" t="s">
        <v>146</v>
      </c>
      <c r="F62" s="5" t="s">
        <v>179</v>
      </c>
      <c r="G62" s="5" t="s">
        <v>169</v>
      </c>
      <c r="H62" s="7"/>
      <c r="I62" s="7"/>
      <c r="J62" s="5" t="str">
        <f t="shared" ref="J62:K62" si="49">IF(H62="", "", IF(F62=H62, 1, 0))</f>
        <v/>
      </c>
      <c r="K62" s="5" t="str">
        <f t="shared" si="49"/>
        <v/>
      </c>
    </row>
    <row r="63" ht="15.75" customHeight="1">
      <c r="B63" s="8" t="s">
        <v>147</v>
      </c>
      <c r="C63" s="8" t="s">
        <v>29</v>
      </c>
      <c r="D63" s="10" t="s">
        <v>73</v>
      </c>
      <c r="E63" s="9" t="s">
        <v>148</v>
      </c>
      <c r="F63" s="8" t="s">
        <v>170</v>
      </c>
      <c r="G63" s="8" t="s">
        <v>169</v>
      </c>
      <c r="H63" s="10"/>
      <c r="I63" s="10"/>
      <c r="J63" s="8" t="str">
        <f t="shared" ref="J63:K63" si="50">IF(H63="", "", IF(F63=H63, 1, 0))</f>
        <v/>
      </c>
      <c r="K63" s="8" t="str">
        <f t="shared" si="50"/>
        <v/>
      </c>
    </row>
    <row r="64" ht="15.75" customHeight="1">
      <c r="B64" s="5" t="s">
        <v>149</v>
      </c>
      <c r="C64" s="5" t="s">
        <v>29</v>
      </c>
      <c r="D64" s="7" t="s">
        <v>205</v>
      </c>
      <c r="E64" s="6" t="s">
        <v>150</v>
      </c>
      <c r="F64" s="5" t="s">
        <v>170</v>
      </c>
      <c r="G64" s="5" t="s">
        <v>169</v>
      </c>
      <c r="H64" s="7"/>
      <c r="I64" s="7"/>
      <c r="J64" s="5" t="str">
        <f t="shared" ref="J64:K64" si="51">IF(H64="", "", IF(F64=H64, 1, 0))</f>
        <v/>
      </c>
      <c r="K64" s="5" t="str">
        <f t="shared" si="51"/>
        <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0"/>
    <col customWidth="1" min="3" max="3" width="22.0"/>
    <col customWidth="1" min="4" max="5" width="21.0"/>
    <col customWidth="1" min="6" max="6" width="17.0"/>
    <col customWidth="1" min="7" max="7" width="22.0"/>
    <col customWidth="1" min="8" max="26" width="8.86"/>
  </cols>
  <sheetData>
    <row r="2">
      <c r="B2" s="1" t="s">
        <v>172</v>
      </c>
    </row>
    <row r="5">
      <c r="B5" s="3" t="s">
        <v>7</v>
      </c>
      <c r="C5" s="3" t="s">
        <v>173</v>
      </c>
      <c r="D5" s="3" t="s">
        <v>174</v>
      </c>
      <c r="E5" s="3" t="s">
        <v>175</v>
      </c>
      <c r="F5" s="3" t="s">
        <v>176</v>
      </c>
      <c r="G5" s="3" t="s">
        <v>177</v>
      </c>
    </row>
    <row r="6">
      <c r="B6" s="7"/>
      <c r="C6" s="7"/>
      <c r="D6" s="7"/>
      <c r="E6" s="7"/>
      <c r="F6" s="7"/>
      <c r="G6" s="7"/>
    </row>
    <row r="7">
      <c r="B7" s="10"/>
      <c r="C7" s="10"/>
      <c r="D7" s="10"/>
      <c r="E7" s="10"/>
      <c r="F7" s="10"/>
      <c r="G7" s="10"/>
    </row>
    <row r="8">
      <c r="B8" s="7"/>
      <c r="C8" s="7"/>
      <c r="D8" s="7"/>
      <c r="E8" s="7"/>
      <c r="F8" s="7"/>
      <c r="G8" s="7"/>
    </row>
    <row r="9">
      <c r="B9" s="10"/>
      <c r="C9" s="10"/>
      <c r="D9" s="10"/>
      <c r="E9" s="10"/>
      <c r="F9" s="10"/>
      <c r="G9" s="10"/>
    </row>
    <row r="10">
      <c r="B10" s="7"/>
      <c r="C10" s="7"/>
      <c r="D10" s="7"/>
      <c r="E10" s="7"/>
      <c r="F10" s="7"/>
      <c r="G10" s="7"/>
    </row>
    <row r="11">
      <c r="B11" s="10"/>
      <c r="C11" s="10"/>
      <c r="D11" s="10"/>
      <c r="E11" s="10"/>
      <c r="F11" s="10"/>
      <c r="G11" s="10"/>
    </row>
    <row r="12">
      <c r="B12" s="7"/>
      <c r="C12" s="7"/>
      <c r="D12" s="7"/>
      <c r="E12" s="7"/>
      <c r="F12" s="7"/>
      <c r="G12" s="7"/>
    </row>
    <row r="13">
      <c r="B13" s="10"/>
      <c r="C13" s="10"/>
      <c r="D13" s="10"/>
      <c r="E13" s="10"/>
      <c r="F13" s="10"/>
      <c r="G13" s="10"/>
    </row>
    <row r="14">
      <c r="B14" s="7"/>
      <c r="C14" s="7"/>
      <c r="D14" s="7"/>
      <c r="E14" s="7"/>
      <c r="F14" s="7"/>
      <c r="G14" s="7"/>
    </row>
    <row r="15">
      <c r="B15" s="10"/>
      <c r="C15" s="10"/>
      <c r="D15" s="10"/>
      <c r="E15" s="10"/>
      <c r="F15" s="10"/>
      <c r="G15" s="10"/>
    </row>
    <row r="16">
      <c r="B16" s="7"/>
      <c r="C16" s="7"/>
      <c r="D16" s="7"/>
      <c r="E16" s="7"/>
      <c r="F16" s="7"/>
      <c r="G16" s="7"/>
    </row>
    <row r="17">
      <c r="B17" s="10"/>
      <c r="C17" s="10"/>
      <c r="D17" s="10"/>
      <c r="E17" s="10"/>
      <c r="F17" s="10"/>
      <c r="G17" s="10"/>
    </row>
    <row r="18">
      <c r="B18" s="7"/>
      <c r="C18" s="7"/>
      <c r="D18" s="7"/>
      <c r="E18" s="7"/>
      <c r="F18" s="7"/>
      <c r="G18" s="7"/>
    </row>
    <row r="19">
      <c r="B19" s="10"/>
      <c r="C19" s="10"/>
      <c r="D19" s="10"/>
      <c r="E19" s="10"/>
      <c r="F19" s="10"/>
      <c r="G19" s="10"/>
    </row>
    <row r="20">
      <c r="B20" s="7"/>
      <c r="C20" s="7"/>
      <c r="D20" s="7"/>
      <c r="E20" s="7"/>
      <c r="F20" s="7"/>
      <c r="G20" s="7"/>
    </row>
    <row r="21" ht="15.75" customHeight="1">
      <c r="B21" s="10"/>
      <c r="C21" s="10"/>
      <c r="D21" s="10"/>
      <c r="E21" s="10"/>
      <c r="F21" s="10"/>
      <c r="G21" s="10"/>
    </row>
    <row r="22" ht="15.75" customHeight="1">
      <c r="B22" s="7"/>
      <c r="C22" s="7"/>
      <c r="D22" s="7"/>
      <c r="E22" s="7"/>
      <c r="F22" s="7"/>
      <c r="G22" s="7"/>
    </row>
    <row r="23" ht="15.75" customHeight="1">
      <c r="B23" s="10"/>
      <c r="C23" s="10"/>
      <c r="D23" s="10"/>
      <c r="E23" s="10"/>
      <c r="F23" s="10"/>
      <c r="G23" s="10"/>
    </row>
    <row r="24" ht="15.75" customHeight="1">
      <c r="B24" s="7"/>
      <c r="C24" s="7"/>
      <c r="D24" s="7"/>
      <c r="E24" s="7"/>
      <c r="F24" s="7"/>
      <c r="G24" s="7"/>
    </row>
    <row r="25" ht="15.75" customHeight="1">
      <c r="B25" s="10"/>
      <c r="C25" s="10"/>
      <c r="D25" s="10"/>
      <c r="E25" s="10"/>
      <c r="F25" s="10"/>
      <c r="G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9.0"/>
    <col customWidth="1" min="3" max="3" width="16.0"/>
    <col customWidth="1" min="4" max="6" width="22.0"/>
    <col customWidth="1" min="7" max="26" width="8.86"/>
  </cols>
  <sheetData>
    <row r="2">
      <c r="B2" s="1" t="s">
        <v>180</v>
      </c>
    </row>
    <row r="5">
      <c r="B5" s="3" t="s">
        <v>7</v>
      </c>
      <c r="C5" s="3" t="s">
        <v>181</v>
      </c>
      <c r="D5" s="3" t="s">
        <v>182</v>
      </c>
      <c r="E5" s="3" t="s">
        <v>183</v>
      </c>
      <c r="F5" s="3" t="s">
        <v>184</v>
      </c>
    </row>
    <row r="6">
      <c r="B6" s="5" t="s">
        <v>22</v>
      </c>
      <c r="C6" s="5" t="s">
        <v>27</v>
      </c>
      <c r="D6" s="7"/>
      <c r="E6" s="7"/>
      <c r="F6" s="7"/>
    </row>
    <row r="7">
      <c r="B7" s="8" t="s">
        <v>28</v>
      </c>
      <c r="C7" s="8" t="s">
        <v>25</v>
      </c>
      <c r="D7" s="10"/>
      <c r="E7" s="10"/>
      <c r="F7" s="10"/>
    </row>
    <row r="8">
      <c r="B8" s="5" t="s">
        <v>32</v>
      </c>
      <c r="C8" s="5" t="s">
        <v>31</v>
      </c>
      <c r="D8" s="7"/>
      <c r="E8" s="7"/>
      <c r="F8" s="7"/>
    </row>
    <row r="9">
      <c r="B9" s="8" t="s">
        <v>36</v>
      </c>
      <c r="C9" s="8" t="s">
        <v>34</v>
      </c>
      <c r="D9" s="10"/>
      <c r="E9" s="10"/>
      <c r="F9" s="10"/>
    </row>
    <row r="10">
      <c r="B10" s="5" t="s">
        <v>40</v>
      </c>
      <c r="C10" s="5" t="s">
        <v>27</v>
      </c>
      <c r="D10" s="7"/>
      <c r="E10" s="7"/>
      <c r="F10" s="7"/>
    </row>
    <row r="11">
      <c r="B11" s="8" t="s">
        <v>42</v>
      </c>
      <c r="C11" s="8" t="s">
        <v>25</v>
      </c>
      <c r="D11" s="10"/>
      <c r="E11" s="10"/>
      <c r="F11" s="10"/>
    </row>
    <row r="12">
      <c r="B12" s="5" t="s">
        <v>45</v>
      </c>
      <c r="C12" s="5" t="s">
        <v>31</v>
      </c>
      <c r="D12" s="7"/>
      <c r="E12" s="7"/>
      <c r="F12" s="7"/>
    </row>
    <row r="13">
      <c r="B13" s="8" t="s">
        <v>48</v>
      </c>
      <c r="C13" s="8" t="s">
        <v>34</v>
      </c>
      <c r="D13" s="10"/>
      <c r="E13" s="10"/>
      <c r="F13" s="10"/>
    </row>
    <row r="14">
      <c r="B14" s="5" t="s">
        <v>50</v>
      </c>
      <c r="C14" s="5" t="s">
        <v>27</v>
      </c>
      <c r="D14" s="7"/>
      <c r="E14" s="7"/>
      <c r="F14" s="7"/>
    </row>
    <row r="15">
      <c r="B15" s="8" t="s">
        <v>52</v>
      </c>
      <c r="C15" s="8" t="s">
        <v>25</v>
      </c>
      <c r="D15" s="10"/>
      <c r="E15" s="10"/>
      <c r="F15" s="10"/>
    </row>
    <row r="16">
      <c r="B16" s="5" t="s">
        <v>54</v>
      </c>
      <c r="C16" s="5" t="s">
        <v>31</v>
      </c>
      <c r="D16" s="7"/>
      <c r="E16" s="7"/>
      <c r="F16" s="7"/>
    </row>
    <row r="17">
      <c r="B17" s="8" t="s">
        <v>57</v>
      </c>
      <c r="C17" s="8" t="s">
        <v>34</v>
      </c>
      <c r="D17" s="10"/>
      <c r="E17" s="10"/>
      <c r="F17" s="10"/>
    </row>
    <row r="18">
      <c r="B18" s="5" t="s">
        <v>60</v>
      </c>
      <c r="C18" s="5" t="s">
        <v>27</v>
      </c>
      <c r="D18" s="7"/>
      <c r="E18" s="7"/>
      <c r="F18" s="7"/>
    </row>
    <row r="19">
      <c r="B19" s="8" t="s">
        <v>63</v>
      </c>
      <c r="C19" s="8" t="s">
        <v>25</v>
      </c>
      <c r="D19" s="10"/>
      <c r="E19" s="10"/>
      <c r="F19" s="10"/>
    </row>
    <row r="20">
      <c r="B20" s="5" t="s">
        <v>65</v>
      </c>
      <c r="C20" s="5" t="s">
        <v>31</v>
      </c>
      <c r="D20" s="7"/>
      <c r="E20" s="7"/>
      <c r="F20" s="7"/>
    </row>
    <row r="21" ht="15.75" customHeight="1">
      <c r="B21" s="8" t="s">
        <v>68</v>
      </c>
      <c r="C21" s="8" t="s">
        <v>34</v>
      </c>
      <c r="D21" s="10"/>
      <c r="E21" s="10"/>
      <c r="F21" s="10"/>
    </row>
    <row r="22" ht="15.75" customHeight="1">
      <c r="B22" s="5" t="s">
        <v>70</v>
      </c>
      <c r="C22" s="5" t="s">
        <v>27</v>
      </c>
      <c r="D22" s="7"/>
      <c r="E22" s="7"/>
      <c r="F22" s="7"/>
    </row>
    <row r="23" ht="15.75" customHeight="1">
      <c r="B23" s="8" t="s">
        <v>72</v>
      </c>
      <c r="C23" s="8" t="s">
        <v>25</v>
      </c>
      <c r="D23" s="10"/>
      <c r="E23" s="10"/>
      <c r="F23" s="10"/>
    </row>
    <row r="24" ht="15.75" customHeight="1">
      <c r="B24" s="5" t="s">
        <v>75</v>
      </c>
      <c r="C24" s="5" t="s">
        <v>31</v>
      </c>
      <c r="D24" s="7"/>
      <c r="E24" s="7"/>
      <c r="F24" s="7"/>
    </row>
    <row r="25" ht="15.75" customHeight="1">
      <c r="B25" s="8" t="s">
        <v>78</v>
      </c>
      <c r="C25" s="8" t="s">
        <v>34</v>
      </c>
      <c r="D25" s="10"/>
      <c r="E25" s="10"/>
      <c r="F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3" width="22.0"/>
    <col customWidth="1" min="4" max="4" width="16.0"/>
    <col customWidth="1" min="5" max="5" width="11.0"/>
    <col customWidth="1" min="6" max="26" width="8.86"/>
  </cols>
  <sheetData>
    <row r="2">
      <c r="B2" s="1" t="s">
        <v>185</v>
      </c>
    </row>
    <row r="5">
      <c r="B5" s="3" t="s">
        <v>186</v>
      </c>
      <c r="C5" s="3" t="s">
        <v>187</v>
      </c>
      <c r="D5" s="3" t="s">
        <v>181</v>
      </c>
      <c r="E5" s="3" t="s">
        <v>188</v>
      </c>
    </row>
    <row r="6">
      <c r="B6" s="7" t="s">
        <v>189</v>
      </c>
      <c r="C6" s="7" t="s">
        <v>190</v>
      </c>
      <c r="D6" s="5" t="s">
        <v>191</v>
      </c>
      <c r="E6" s="5" t="s">
        <v>192</v>
      </c>
    </row>
    <row r="7">
      <c r="B7" s="10" t="s">
        <v>193</v>
      </c>
      <c r="C7" s="10" t="s">
        <v>194</v>
      </c>
      <c r="D7" s="8" t="s">
        <v>191</v>
      </c>
      <c r="E7" s="8" t="s">
        <v>192</v>
      </c>
    </row>
    <row r="8">
      <c r="B8" s="7" t="s">
        <v>195</v>
      </c>
      <c r="C8" s="7" t="s">
        <v>196</v>
      </c>
      <c r="D8" s="5" t="s">
        <v>191</v>
      </c>
      <c r="E8" s="5" t="s">
        <v>192</v>
      </c>
    </row>
    <row r="9">
      <c r="B9" s="10" t="s">
        <v>197</v>
      </c>
      <c r="C9" s="10" t="s">
        <v>198</v>
      </c>
      <c r="D9" s="8" t="s">
        <v>191</v>
      </c>
      <c r="E9" s="8"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2026-07-09T16:09:37Z</dcterms:created>
  <dc:creator>openpyxl</dc:creator>
</cp:coreProperties>
</file>